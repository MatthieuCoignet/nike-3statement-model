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01-Assumption" sheetId="1" state="visible" r:id="rId3"/>
    <sheet name="02-IS" sheetId="2" state="visible" r:id="rId4"/>
    <sheet name="03-CFS" sheetId="3" state="visible" r:id="rId5"/>
    <sheet name="04-BS" sheetId="4" state="visible" r:id="rId6"/>
    <sheet name="05-DASH" sheetId="5" state="visible" r:id="rId7"/>
    <sheet name="06-DCF" sheetId="6" state="visible" r:id="rId8"/>
    <sheet name="07-WACC" sheetId="7" state="visible" r:id="rId9"/>
    <sheet name="08-ASSUM" sheetId="8" state="visible" r:id="rId10"/>
    <sheet name="09-SE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<sst xmlns="http://schemas.openxmlformats.org/spreadsheetml/2006/main" count="430" uniqueCount="353">
  <si>
    <t xml:space="preserve">NIKE INC — MODEL ASSUMPTIONS &amp; DRIVERS</t>
  </si>
  <si>
    <t xml:space="preserve">Assumption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</si>
  <si>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</si>
  <si>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</si>
  <si>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</si>
  <si>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</si>
  <si>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</si>
  <si>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Source / Note</t>
  </si>
  <si>
    <t xml:space="preserve">REVENUE ASSUMPTIONS</t>
  </si>
  <si>
    <t xml:space="preserve">Total Revenue growth YoY</t>
  </si>
  <si>
    <t xml:space="preserve">-</t>
  </si>
  <si>
    <t xml:space="preserve">Analyst consensus / mgmt guidance</t>
  </si>
  <si>
    <t xml:space="preserve">North America growth</t>
  </si>
  <si>
    <t xml:space="preserve">EMEA growth</t>
  </si>
  <si>
    <t xml:space="preserve">Asia Pacific &amp; LatAm growth</t>
  </si>
  <si>
    <t xml:space="preserve">Greater China growth</t>
  </si>
  <si>
    <t xml:space="preserve">Converse growth</t>
  </si>
  <si>
    <t xml:space="preserve">Global Brand Divisions growth</t>
  </si>
  <si>
    <t xml:space="preserve">MARGIN ASSUMPTIONS</t>
  </si>
  <si>
    <t xml:space="preserve">Gross Margin %</t>
  </si>
  <si>
    <t xml:space="preserve">Historical avg + mgmt guidance</t>
  </si>
  <si>
    <t xml:space="preserve">SG&amp;A as % of Revenue</t>
  </si>
  <si>
    <t xml:space="preserve">Historical trend</t>
  </si>
  <si>
    <t xml:space="preserve">Demand creation as % of Revenue</t>
  </si>
  <si>
    <t xml:space="preserve">Operating overhead as % of Revenue</t>
  </si>
  <si>
    <t xml:space="preserve">Effective Tax Rate</t>
  </si>
  <si>
    <t xml:space="preserve">10-K income tax note</t>
  </si>
  <si>
    <t xml:space="preserve">BALANCE SHEET ASSUMPTIONS</t>
  </si>
  <si>
    <t xml:space="preserve">D&amp;A as % of Revenue</t>
  </si>
  <si>
    <t xml:space="preserve">Normalization assumption (FY2023-25 actual avg ~1.5%)</t>
  </si>
  <si>
    <t xml:space="preserve">CapEx as % of Revenue</t>
  </si>
  <si>
    <t xml:space="preserve">CFS / mgmt guidance</t>
  </si>
  <si>
    <t xml:space="preserve">Days Sales Outstanding (AR)</t>
  </si>
  <si>
    <t xml:space="preserve">Days Inventory Outstanding</t>
  </si>
  <si>
    <t xml:space="preserve">Days Payable Outstanding</t>
  </si>
  <si>
    <t xml:space="preserve">CAPITAL ALLOCATION</t>
  </si>
  <si>
    <t xml:space="preserve">Dividends paid ($mm)</t>
  </si>
  <si>
    <t xml:space="preserve">Share repurchases ($mm)</t>
  </si>
  <si>
    <t xml:space="preserve">Net debt repayment ($mm)</t>
  </si>
  <si>
    <t xml:space="preserve">METHODOLOGY NOTES — ASSUMPTIONS</t>
  </si>
  <si>
    <t xml:space="preserve">Revenue growth FY2026E/2027E based on analyst consensus and Nike management guidance (May 2025 earnings call)</t>
  </si>
  <si>
    <t xml:space="preserve">North America: +4%/+6% — recovery from -8% FY2025 decline driven by wholesale channel normalization</t>
  </si>
  <si>
    <t xml:space="preserve">EMEA: +6%/+8% — resilient market, currency-neutral growth outperforming reported</t>
  </si>
  <si>
    <t xml:space="preserve">Greater China: +5%/+8% — gradual recovery post FY2025 headwinds, management targeting double-digit CN-neutral growth</t>
  </si>
  <si>
    <t xml:space="preserve">APLA: +7%/+9% — fastest growing region, emerging markets tailwind</t>
  </si>
  <si>
    <t xml:space="preserve">Converse: +3%/+5% — conservative assumption given structural decline in lifestyle segment</t>
  </si>
  <si>
    <t xml:space="preserve">Gross Margin 44.5%/45.0% — recovery toward historical 44-46% range as input costs normalize and DTC mix improve</t>
  </si>
  <si>
    <t xml:space="preserve">SG&amp;A 31.0%/30.5% — operating leverage from Win Now cost reduction program ($2bn savings target)</t>
  </si>
  <si>
    <t xml:space="preserve">Effective Tax Rate 18.5% — consistent with Nike 3-year historical average per 10-K income tax note</t>
  </si>
  <si>
    <t xml:space="preserve">D&amp;A 3.2% of revenue — based on 3-year historical average from CFS; slight increase vs FY2025 (1.7%) reflects normalization</t>
  </si>
  <si>
    <t xml:space="preserve">CapEx 3.5%/3.4% of revenue — management guidance range; below historical avg reflecting asset-light pivot</t>
  </si>
  <si>
    <t xml:space="preserve">Dividends: +4-5% annual growth assumption consistent with Nike 10-year dividend CAGR</t>
  </si>
  <si>
    <t xml:space="preserve">Share repurchases reduced to $2bn/year — conservative given FCF compression in FY2025; management paused buybacks H2 FY2025</t>
  </si>
  <si>
    <t xml:space="preserve">Net debt repayment: $0 FY2026 / $500mm FY2027 — no known senior note maturities in FY2026 per 10-K debt schedule</t>
  </si>
  <si>
    <t xml:space="preserve">NIKE INC — INCOME STATEMENT ($ in millions)</t>
  </si>
  <si>
    <t xml:space="preserve">Line Item</t>
  </si>
  <si>
    <t xml:space="preserve">Margin % FY23</t>
  </si>
  <si>
    <t xml:space="preserve">Margin % FY24</t>
  </si>
  <si>
    <t xml:space="preserve">Margin % FY25</t>
  </si>
  <si>
    <t xml:space="preserve">YoY % 23→24</t>
  </si>
  <si>
    <t xml:space="preserve">YoY % 24→25</t>
  </si>
  <si>
    <t xml:space="preserve">North America</t>
  </si>
  <si>
    <t xml:space="preserve">Europe, Middle East &amp; Africa</t>
  </si>
  <si>
    <t xml:space="preserve">Asia Pacific &amp; Latin America</t>
  </si>
  <si>
    <t xml:space="preserve">Greater China</t>
  </si>
  <si>
    <t xml:space="preserve">Converse</t>
  </si>
  <si>
    <t xml:space="preserve">Coporate</t>
  </si>
  <si>
    <t xml:space="preserve">Global Brand Divisions</t>
  </si>
  <si>
    <t xml:space="preserve">TOTAL REVENUES</t>
  </si>
  <si>
    <t xml:space="preserve">Cost of Sales</t>
  </si>
  <si>
    <t xml:space="preserve">GROSS PROFIT</t>
  </si>
  <si>
    <t xml:space="preserve">Demand creation expense</t>
  </si>
  <si>
    <t xml:space="preserve">Operating overhead expense</t>
  </si>
  <si>
    <t xml:space="preserve">TOTAL SG&amp;A</t>
  </si>
  <si>
    <t xml:space="preserve">EBIT</t>
  </si>
  <si>
    <t xml:space="preserve">D&amp;A (add-back)</t>
  </si>
  <si>
    <t xml:space="preserve">EBITDA</t>
  </si>
  <si>
    <t xml:space="preserve">Interest expense, net</t>
  </si>
  <si>
    <t xml:space="preserve">Other income (expense), net</t>
  </si>
  <si>
    <t xml:space="preserve">EBT</t>
  </si>
  <si>
    <t xml:space="preserve">Income tax expense</t>
  </si>
  <si>
    <t xml:space="preserve">NET INCOME</t>
  </si>
  <si>
    <t xml:space="preserve">METHODOLOGY NOTES — INCOME STATEMEN</t>
  </si>
  <si>
    <t xml:space="preserve">Source: Nike Inc. 10-K FY2023 (filed July 2023), FY2024 (filed July 2024), FY2025 (filed July 2025) — SEC EDGAR (sec.gov)</t>
  </si>
  <si>
    <t xml:space="preserve">Revenue segments: North America, EMEA, Greater China, APLA, Converse, Corporate per Note 15 Segment Information</t>
  </si>
  <si>
    <t xml:space="preserve">Corporate revenue: unallocated licensing and other miscellaneous revenues immaterial, kept stable in projections</t>
  </si>
  <si>
    <t xml:space="preserve">D&amp;A add-back (line 18): sourced from CFS Supplemental Disclosure, not separately reported on face of IS</t>
  </si>
  <si>
    <t xml:space="preserve">Interest expense net: Nike reported net interest income in FY2023-2025 due to cash position exceeding debt, entered as negative</t>
  </si>
  <si>
    <t xml:space="preserve">Other income (expense) net: includes FX gains/losses and non-operating items, kept at FY2025 level in projections (conservative)</t>
  </si>
  <si>
    <t xml:space="preserve">Projected revenues FY2026E/2027E: linked from 01-Assumption, change assumptions there to update all projections</t>
  </si>
  <si>
    <t xml:space="preserve">Projected margins: Cost of Sales derived from (1 - Gross Margin %) × Revenue; SG&amp;A from Demand creation % + Operating overhead % of Revenue</t>
  </si>
  <si>
    <t xml:space="preserve">All figures in USD millions unless otherwise noted</t>
  </si>
  <si>
    <t xml:space="preserve">Nike fiscal year ends May 31 — FY2025 = June 2024 to May 2025</t>
  </si>
  <si>
    <t xml:space="preserve">NIKE INC — CASH FLOW STATEMENT ($ in millions)</t>
  </si>
  <si>
    <t xml:space="preserve">OPERATING ACTIVITIES</t>
  </si>
  <si>
    <t xml:space="preserve">Net Income</t>
  </si>
  <si>
    <t xml:space="preserve">Depreciation &amp; Amortization</t>
  </si>
  <si>
    <t xml:space="preserve">Stock-based compensation</t>
  </si>
  <si>
    <t xml:space="preserve">Deferred income taxes</t>
  </si>
  <si>
    <t xml:space="preserve">(Increase)/decrease in Accounts Receivable</t>
  </si>
  <si>
    <t xml:space="preserve">(Increase)/decrease in Inventories</t>
  </si>
  <si>
    <t xml:space="preserve">Increase/(decrease) in Accounts Payable</t>
  </si>
  <si>
    <t xml:space="preserve">Change in prepaid and others</t>
  </si>
  <si>
    <t xml:space="preserve">Other working capital changes</t>
  </si>
  <si>
    <t xml:space="preserve">OPERATING CASH FLOW</t>
  </si>
  <si>
    <t xml:space="preserve">INVESTING ACTIVITIES</t>
  </si>
  <si>
    <t xml:space="preserve">Capital expenditures (CapEx)</t>
  </si>
  <si>
    <t xml:space="preserve">Acquisitions &amp; investments, net</t>
  </si>
  <si>
    <t xml:space="preserve">Other investing activities</t>
  </si>
  <si>
    <t xml:space="preserve">INVESTING CASH FLOW</t>
  </si>
  <si>
    <t xml:space="preserve">FINANCING ACTIVITIES</t>
  </si>
  <si>
    <t xml:space="preserve">Dividends paid</t>
  </si>
  <si>
    <t xml:space="preserve">Share repurchases</t>
  </si>
  <si>
    <t xml:space="preserve">Net borrowings / (repayments)</t>
  </si>
  <si>
    <t xml:space="preserve">Other financing activities</t>
  </si>
  <si>
    <t xml:space="preserve">FINANCING CASH FLOW</t>
  </si>
  <si>
    <t xml:space="preserve">Net change in cash</t>
  </si>
  <si>
    <t xml:space="preserve">Effect of exchange rates</t>
  </si>
  <si>
    <t xml:space="preserve">Beginning cash balance</t>
  </si>
  <si>
    <t xml:space="preserve">ENDING CASH BALANCE</t>
  </si>
  <si>
    <t xml:space="preserve">FREE CASH FLOW (OCF - CapEx)</t>
  </si>
  <si>
    <t xml:space="preserve">METHODOLOGY NOTES — CASH FLOW STATEMENT</t>
  </si>
  <si>
    <t xml:space="preserve">Source: Nike Inc. 10-K FY2023, FY2024, FY2025 — Consolidated Statements of Cash Flows</t>
  </si>
  <si>
    <t xml:space="preserve">Net Income: auto-linked from 02-IS — any change in IS projections flows through automatically</t>
  </si>
  <si>
    <t xml:space="preserve">D&amp;A: sourced from CFS Supplemental Disclosure table (FY2024 10-K Note segment table)</t>
  </si>
  <si>
    <t xml:space="preserve">Short-term investments: grouped into "Acquisitions &amp; investments, net" — net of purchases, maturities and sales</t>
  </si>
  <si>
    <t xml:space="preserve">Effect of exchange rates on cash: historical actuals kept at FY2025 level (1mm) for projections — immaterial</t>
  </si>
  <si>
    <t xml:space="preserve">Working capital changes FY2026E/2027E: kept at FY2025 levels by conservatism — no DSO/DIO/DPO model built at this stage</t>
  </si>
  <si>
    <t xml:space="preserve">CapEx FY2026E/2027E: linked from 01-Assumption (3.5%/3.4% of projected revenue) — entered as negative per convention</t>
  </si>
  <si>
    <t xml:space="preserve">Dividends and buybacks: linked from 01-Assumption Capital Allocation section</t>
  </si>
  <si>
    <t xml:space="preserve">Other financing activities: includes proceeds from stock option exercises (~$466mm/year) — kept stable at FY2025 level</t>
  </si>
  <si>
    <t xml:space="preserve">FCF defined as Operating Cash Flow + CapEx (CapEx negative by convention)</t>
  </si>
  <si>
    <t xml:space="preserve">Ending cash balance reconciles to 04-BS Cash &amp; equivalents line</t>
  </si>
  <si>
    <t xml:space="preserve">FY2025 ending cash: $7,465mm vs 10-K $7,464mm — $1mm rounding difference, immaterial</t>
  </si>
  <si>
    <t xml:space="preserve">NIKE INC — BALANCE SHEET ($ in millions)</t>
  </si>
  <si>
    <t xml:space="preserve">ASSETS</t>
  </si>
  <si>
    <t xml:space="preserve">Current Assets</t>
  </si>
  <si>
    <t xml:space="preserve">Cash &amp; equivalents</t>
  </si>
  <si>
    <t xml:space="preserve">Short term investments</t>
  </si>
  <si>
    <t xml:space="preserve">Accounts receivable, net</t>
  </si>
  <si>
    <t xml:space="preserve">Inventories</t>
  </si>
  <si>
    <t xml:space="preserve">Prepaid expenses &amp; other current assets</t>
  </si>
  <si>
    <t xml:space="preserve">TOTAL CURRENT ASSETS</t>
  </si>
  <si>
    <t xml:space="preserve">Non-Current Assets</t>
  </si>
  <si>
    <t xml:space="preserve">Property, plant &amp; equipment, net</t>
  </si>
  <si>
    <t xml:space="preserve">Operating lease right-of-use assets</t>
  </si>
  <si>
    <t xml:space="preserve">Intangible assets &amp; goodwill, net</t>
  </si>
  <si>
    <t xml:space="preserve">Deferred income taxes &amp; other</t>
  </si>
  <si>
    <t xml:space="preserve">TOTAL NON-CURRENT ASSETS</t>
  </si>
  <si>
    <t xml:space="preserve">TOTAL ASSETS</t>
  </si>
  <si>
    <t xml:space="preserve">LIABILITIES &amp; EQUITY</t>
  </si>
  <si>
    <t xml:space="preserve">Current Liabilities</t>
  </si>
  <si>
    <t xml:space="preserve">Accounts payable</t>
  </si>
  <si>
    <t xml:space="preserve">Note payable</t>
  </si>
  <si>
    <t xml:space="preserve">Income Taxes payable</t>
  </si>
  <si>
    <t xml:space="preserve">Accrued liabilities</t>
  </si>
  <si>
    <t xml:space="preserve">Current portion of long-term debt</t>
  </si>
  <si>
    <t xml:space="preserve">Current operating lease liabilities</t>
  </si>
  <si>
    <t xml:space="preserve">TOTAL CURRENT LIABILITIES</t>
  </si>
  <si>
    <t xml:space="preserve">Non-Current Liabilities</t>
  </si>
  <si>
    <t xml:space="preserve">Long-term debt</t>
  </si>
  <si>
    <t xml:space="preserve">Non-current operating lease liabilities</t>
  </si>
  <si>
    <t xml:space="preserve">Deferred income taxes &amp; other liabilities</t>
  </si>
  <si>
    <t xml:space="preserve">TOTAL NON-CURRENT LIABILITIES</t>
  </si>
  <si>
    <t xml:space="preserve">TOTAL LIABILITIES</t>
  </si>
  <si>
    <t xml:space="preserve">Shareholders' Equity</t>
  </si>
  <si>
    <t xml:space="preserve">Common stock &amp; additional paid-in capital</t>
  </si>
  <si>
    <t xml:space="preserve">Retained earnings (accumulated deficit)</t>
  </si>
  <si>
    <t xml:space="preserve">Accumulated other comprehensive loss</t>
  </si>
  <si>
    <t xml:space="preserve">TOTAL SHAREHOLDERS' EQUITY</t>
  </si>
  <si>
    <t xml:space="preserve">TOTAL LIABILITIES &amp; EQUITY</t>
  </si>
  <si>
    <t xml:space="preserve">BALANCE SHEET CHECK (must = 0)</t>
  </si>
  <si>
    <t xml:space="preserve">METHODOLOGY NOTES — BALANCE SHEET</t>
  </si>
  <si>
    <t xml:space="preserve">Source: Nike Inc. 10-K FY2023, FY2024, FY2025 — Consolidated Balance Sheets</t>
  </si>
  <si>
    <t xml:space="preserve">FY2023 data: sourced from FY2023 10-K (2 years presented) — FY2022 not included in this model</t>
  </si>
  <si>
    <t xml:space="preserve">Short-term investments: added as separate line after identifying omission vs 10-K totals — $3,234 / $1,722 / $1,687mm</t>
  </si>
  <si>
    <t xml:space="preserve">Notes payable and Income taxes payable: added to current liabilities after initial BS CHECK discrepancy</t>
  </si>
  <si>
    <t xml:space="preserve">Common stock stated value $3mm: included in equity — Class A convertible + Class B shares</t>
  </si>
  <si>
    <t xml:space="preserve">Retained earnings FY2025: negative (-$727mm) reflecting accumulated buybacks exceeding retained profits — normal for Nike given $18bn repurchase program</t>
  </si>
  <si>
    <t xml:space="preserve">Balance Sheet Check = Total Assets - Total Liabilities &amp; Equity — must equal 0 for all historical years</t>
  </si>
  <si>
    <t xml:space="preserve">Historical BS CHECK = 0 for FY2023, FY2024, FY2025</t>
  </si>
  <si>
    <t xml:space="preserve">Projected BS CHECK residual ~$180mm: due to Notes payable and Income taxes payable kept stable in projections — immaterial (0.5% of total assets)</t>
  </si>
  <si>
    <t xml:space="preserve">PP&amp;E projections: kept stable at FY2025 level — simplification at intermediate model level; full model would use PP&amp;E roll-forward</t>
  </si>
  <si>
    <t xml:space="preserve">Working capital items (AR, Inventory, Prepaid): kept stable at FY2025 levels — DSO/DIO/DPO model not built at this stage</t>
  </si>
  <si>
    <t xml:space="preserve">LT Debt FY2027E: reduced by $500mm net repayment per 01-Assumption Capital Allocation</t>
  </si>
  <si>
    <t xml:space="preserve">Equity projections: Retained Earnings = Prior year + Net Income + Dividends + Buybacks + Other financing</t>
  </si>
  <si>
    <t xml:space="preserve">NIKE INC — KPI DASHBOARD</t>
  </si>
  <si>
    <t xml:space="preserve">KPI</t>
  </si>
  <si>
    <t xml:space="preserve">Benchmark</t>
  </si>
  <si>
    <t xml:space="preserve">PROFITABILITY</t>
  </si>
  <si>
    <t xml:space="preserve">① Net Profit Margin</t>
  </si>
  <si>
    <t xml:space="preserve">10-14% target</t>
  </si>
  <si>
    <t xml:space="preserve">② Gross Margin %</t>
  </si>
  <si>
    <t xml:space="preserve">44-46% target</t>
  </si>
  <si>
    <t xml:space="preserve">③ EBITDA Margin %</t>
  </si>
  <si>
    <t xml:space="preserve">15-17% target</t>
  </si>
  <si>
    <t xml:space="preserve">④ Revenue Growth YoY</t>
  </si>
  <si>
    <t xml:space="preserve">5-8% target</t>
  </si>
  <si>
    <t xml:space="preserve">RETURNS &amp; LEVERAGE</t>
  </si>
  <si>
    <t xml:space="preserve">⑤ Return on Equity (ROE)</t>
  </si>
  <si>
    <t xml:space="preserve">30-50% (buybacks)</t>
  </si>
  <si>
    <t xml:space="preserve">⑥ Debt / EBITDA</t>
  </si>
  <si>
    <t xml:space="preserve">&lt; 2.0x</t>
  </si>
  <si>
    <t xml:space="preserve">⑦ Current Ratio</t>
  </si>
  <si>
    <t xml:space="preserve">&gt; 1.5x</t>
  </si>
  <si>
    <t xml:space="preserve">CASH FLOW</t>
  </si>
  <si>
    <t xml:space="preserve">⑧ Free Cash Flow ($mm)</t>
  </si>
  <si>
    <t xml:space="preserve">$4-6bn target</t>
  </si>
  <si>
    <t xml:space="preserve">⑨ FCF Margin %</t>
  </si>
  <si>
    <t xml:space="preserve">8-12% target</t>
  </si>
  <si>
    <t xml:space="preserve">⑩ CapEx as % of Revenue</t>
  </si>
  <si>
    <t xml:space="preserve">3-4% typical (negatif)</t>
  </si>
  <si>
    <t xml:space="preserve">Segment</t>
  </si>
  <si>
    <t xml:space="preserve">EMEA</t>
  </si>
  <si>
    <t xml:space="preserve">APLA</t>
  </si>
  <si>
    <t xml:space="preserve">Metric</t>
  </si>
  <si>
    <t xml:space="preserve">EBITDA Margin %</t>
  </si>
  <si>
    <t xml:space="preserve">Net Margin %</t>
  </si>
  <si>
    <t xml:space="preserve">Free Cash Flow</t>
  </si>
  <si>
    <t xml:space="preserve">CapEx</t>
  </si>
  <si>
    <t xml:space="preserve">ROE %</t>
  </si>
  <si>
    <t xml:space="preserve">Current Ratio</t>
  </si>
  <si>
    <t xml:space="preserve">Debt/EBITDA</t>
  </si>
  <si>
    <t xml:space="preserve">Chart : Current Ratio et Debt/EBITDA en multiple (x), ROE en %</t>
  </si>
  <si>
    <t xml:space="preserve">Net Income ($mm)</t>
  </si>
  <si>
    <t xml:space="preserve">METHODOLOGY NOTES — KPI DASHBOARD</t>
  </si>
  <si>
    <t xml:space="preserve">All KPIs auto-linked from 02-IS, 03-CFS, 04-BS — update source data to refresh dashboard automatically</t>
  </si>
  <si>
    <t xml:space="preserve">Net Profit Margin = Net Income / Total Revenues</t>
  </si>
  <si>
    <t xml:space="preserve">Gross Margin % = Gross Profit / Total Revenues</t>
  </si>
  <si>
    <t xml:space="preserve">EBITDA Margin % = EBITDA / Total Revenues — EBITDA not reported by Nike; calculated as EBIT + D&amp;A add-back</t>
  </si>
  <si>
    <t xml:space="preserve">Revenue Growth YoY = (Revenue N - Revenue N-1) / Revenue N-1</t>
  </si>
  <si>
    <t xml:space="preserve">ROE = Net Income / Total Shareholders Equity — elevated by share buybacks reducing equity base</t>
  </si>
  <si>
    <t xml:space="preserve">Debt/EBITDA = Long-term debt / EBITDA — uses LT debt only, excludes current portion and operating leases</t>
  </si>
  <si>
    <t xml:space="preserve">Current Ratio = Total Current Assets / Total Current Liabilities — Nike target &gt;1.5x</t>
  </si>
  <si>
    <t xml:space="preserve">FCF = Operating Cash Flow + CapEx (CapEx negative by convention)</t>
  </si>
  <si>
    <t xml:space="preserve">FCF Margin % = FCF / Total Revenues</t>
  </si>
  <si>
    <t xml:space="preserve">CapEx % of Revenue: displayed as negative — reflects cash outflow convention from CFS</t>
  </si>
  <si>
    <t xml:space="preserve">Key observations: Net Margin compressed from 11.1% (FY2024) to 7.0% (FY2025) driven by revenue decline -9.8% and fixed cost deleverage</t>
  </si>
  <si>
    <t xml:space="preserve">Debt/EBITDA deteriorated to 1.8x in FY2025 from 1.1x in FY2024 — EBITDA compression, not debt increase</t>
  </si>
  <si>
    <t xml:space="preserve">FCF declined 50.6% FY2024 to FY2025 — primary driver: Net Income -43.5% and continued SG&amp;A investment</t>
  </si>
  <si>
    <t xml:space="preserve">Projections FY2026E/2027E reflect recovery scenario — assumptions modifiable in 01-Assumption</t>
  </si>
  <si>
    <t xml:space="preserve">Benchmark ranges sourced from Nike historical performance and consumer staples/apparel sector comparables</t>
  </si>
  <si>
    <t xml:space="preserve">NIKE INC — DCF VALUATION ($ in millions)</t>
  </si>
  <si>
    <t xml:space="preserve">FY2028E</t>
  </si>
  <si>
    <t xml:space="preserve">FY2029E</t>
  </si>
  <si>
    <t xml:space="preserve">FY2030E</t>
  </si>
  <si>
    <t xml:space="preserve">REVENUE PROJECTIONS</t>
  </si>
  <si>
    <t xml:space="preserve">Total Revenue</t>
  </si>
  <si>
    <t xml:space="preserve">Revenue growth %</t>
  </si>
  <si>
    <t xml:space="preserve">EBIT margin %</t>
  </si>
  <si>
    <t xml:space="preserve">Tax rate</t>
  </si>
  <si>
    <t xml:space="preserve">NOPAT</t>
  </si>
  <si>
    <t xml:space="preserve">D&amp;A</t>
  </si>
  <si>
    <t xml:space="preserve">Capex</t>
  </si>
  <si>
    <t xml:space="preserve">NWC (CA - CL)</t>
  </si>
  <si>
    <t xml:space="preserve">ΔNWC (variation)</t>
  </si>
  <si>
    <t xml:space="preserve">FREE CASH FLOW TO FIRM (FCFF)</t>
  </si>
  <si>
    <t xml:space="preserve">FCFF</t>
  </si>
  <si>
    <t xml:space="preserve">FCFF margin %</t>
  </si>
  <si>
    <t xml:space="preserve">DCF VALUATION</t>
  </si>
  <si>
    <t xml:space="preserve">WACC</t>
  </si>
  <si>
    <t xml:space="preserve">Discount period</t>
  </si>
  <si>
    <t xml:space="preserve">Discount factor</t>
  </si>
  <si>
    <t xml:space="preserve">PV of FCFF</t>
  </si>
  <si>
    <t xml:space="preserve">Sum of PV (FCFF)</t>
  </si>
  <si>
    <t xml:space="preserve">TERMINAL VALUE</t>
  </si>
  <si>
    <t xml:space="preserve">Terminal growth rate (g)</t>
  </si>
  <si>
    <t xml:space="preserve">Terminal Value (Gordon Growth)</t>
  </si>
  <si>
    <t xml:space="preserve">PV of Terminal Value</t>
  </si>
  <si>
    <t xml:space="preserve">TV as % of Total Value</t>
  </si>
  <si>
    <t xml:space="preserve">EQUITY VALUE BRIDGE</t>
  </si>
  <si>
    <t xml:space="preserve">Enterprise Value (EV)</t>
  </si>
  <si>
    <t xml:space="preserve">Less: Net Debt</t>
  </si>
  <si>
    <t xml:space="preserve">Equity Value</t>
  </si>
  <si>
    <t xml:space="preserve">Shares outstanding (mm)</t>
  </si>
  <si>
    <t xml:space="preserve">Implied Share Price</t>
  </si>
  <si>
    <t xml:space="preserve">NIKE INC — WACC</t>
  </si>
  <si>
    <t xml:space="preserve">Source / Justification</t>
  </si>
  <si>
    <t xml:space="preserve">MARKET INPUTS</t>
  </si>
  <si>
    <t xml:space="preserve">Risk-free rate (Rf)</t>
  </si>
  <si>
    <t xml:space="preserve">10-year US Treasury yield — Jun 2026</t>
  </si>
  <si>
    <t xml:space="preserve">Equity Risk Premium (ERP)</t>
  </si>
  <si>
    <t xml:space="preserve">Long-run historical premium (assumption). Damodaran implied ERP: 4.23% (Jan 2026), 4.20% mature market (Jul 2026)</t>
  </si>
  <si>
    <t xml:space="preserve">Beta (β)</t>
  </si>
  <si>
    <t xml:space="preserve">Yahoo Finance 5Y monthly — June 2026</t>
  </si>
  <si>
    <t xml:space="preserve">COST OF EQUITY (CAPM)</t>
  </si>
  <si>
    <t xml:space="preserve">Ke</t>
  </si>
  <si>
    <t xml:space="preserve">Rf + β * ERP</t>
  </si>
  <si>
    <t xml:space="preserve">COST OF DEBT</t>
  </si>
  <si>
    <t xml:space="preserve">Pre-tax cost of debt (Kd)</t>
  </si>
  <si>
    <t xml:space="preserve">Nike avg coupon rate — 10-K FY2025 Note 7</t>
  </si>
  <si>
    <t xml:space="preserve">Lien vers 01-Assumption — 18.5%</t>
  </si>
  <si>
    <t xml:space="preserve">Kd after-tax</t>
  </si>
  <si>
    <t xml:space="preserve">Kd × (1 − Tax rate)</t>
  </si>
  <si>
    <t xml:space="preserve">CAPITAL STRUCTURE</t>
  </si>
  <si>
    <t xml:space="preserve">Market capitalization ($mm)</t>
  </si>
  <si>
    <t xml:space="preserve">Nike market cap — June 2026 (~$45/share × 1,530mm shares)</t>
  </si>
  <si>
    <t xml:space="preserve">Long-term debt ($mm)</t>
  </si>
  <si>
    <t xml:space="preserve">Lien vers 04-BS — LT Debt FY2025 = $7,961mm</t>
  </si>
  <si>
    <t xml:space="preserve">Total capital V ($mm)</t>
  </si>
  <si>
    <t xml:space="preserve">Market cap + LT Debt</t>
  </si>
  <si>
    <t xml:space="preserve">E/V (equity weight)</t>
  </si>
  <si>
    <t xml:space="preserve">Market cap / V</t>
  </si>
  <si>
    <t xml:space="preserve">D/V (debt weight)</t>
  </si>
  <si>
    <t xml:space="preserve">LT Debt / V</t>
  </si>
  <si>
    <t xml:space="preserve">Ke × E/V + Kd(1−t) × D/V</t>
  </si>
  <si>
    <t xml:space="preserve">NIKE INC — MODEL ASSUMPTIONS</t>
  </si>
  <si>
    <t xml:space="preserve">Value</t>
  </si>
  <si>
    <t xml:space="preserve">Justification</t>
  </si>
  <si>
    <t xml:space="preserve">REVENUE</t>
  </si>
  <si>
    <t xml:space="preserve">Revenue growth FY2026E</t>
  </si>
  <si>
    <t xml:space="preserve">Analyst consensus FY2025 earnings call — recovery from -9.8% FY2025 decline</t>
  </si>
  <si>
    <t xml:space="preserve">Revenue growth FY2027E</t>
  </si>
  <si>
    <t xml:space="preserve">Continued recovery — EMEA +8%, Greater China +8%, APLA +9%</t>
  </si>
  <si>
    <t xml:space="preserve">MARGINS</t>
  </si>
  <si>
    <t xml:space="preserve">Gross Margin FY2026E</t>
  </si>
  <si>
    <t xml:space="preserve">Recovery toward 44-46% historical range — DTC mix shift and input cost normalization</t>
  </si>
  <si>
    <t xml:space="preserve">Gross Margin FY2027E</t>
  </si>
  <si>
    <t xml:space="preserve">Continued DTC expansion — management targets 45%+ medium term</t>
  </si>
  <si>
    <t xml:space="preserve">EBIT margin FY2028-2030E</t>
  </si>
  <si>
    <t xml:space="preserve">13.5% / 14.0% / 14.0%</t>
  </si>
  <si>
    <t xml:space="preserve">Operating leverage from Win Now cost program — $2bn savings target</t>
  </si>
  <si>
    <t xml:space="preserve">Consistent with Nike 3-year historical average per 10-K income tax note</t>
  </si>
  <si>
    <t xml:space="preserve">D&amp;A % of Revenue</t>
  </si>
  <si>
    <t xml:space="preserve">Normalization assumption — above FY2023-25 actual avg (~1.5%). Reflects expected capex recovery</t>
  </si>
  <si>
    <t xml:space="preserve">Capex % of Revenue</t>
  </si>
  <si>
    <t xml:space="preserve">Normalization assumption — above FY2023-25 actual avg (~1.5%). Management guidance for capex recovery</t>
  </si>
  <si>
    <t xml:space="preserve">NWC % of Revenue</t>
  </si>
  <si>
    <t xml:space="preserve">18% simplifying assumption (FY2025 actual: 27.6%). At 27.6%, base case ≈ $43</t>
  </si>
  <si>
    <t xml:space="preserve">10-year US Treasury yield — June 2026</t>
  </si>
  <si>
    <t xml:space="preserve">Yahoo Finance 5Y monthly — June 2026 (updated from 0.83 used in initial model)</t>
  </si>
  <si>
    <t xml:space="preserve">Ke × E/V + Kd(1-t) × D/V — Nike equity-heavy structure 89% E/V</t>
  </si>
  <si>
    <t xml:space="preserve">2.5% — consistent with long-term US GDP growth and Nike brand durability</t>
  </si>
  <si>
    <t xml:space="preserve">Terminal Value</t>
  </si>
  <si>
    <t xml:space="preserve">Gordon Growth Model — TV represents 66.2% of total EV (updated with β 1.32)</t>
  </si>
  <si>
    <t xml:space="preserve">PRICE TARGET</t>
  </si>
  <si>
    <t xml:space="preserve">Base case DCF — WACC 10.76%, g 2.5%</t>
  </si>
  <si>
    <t xml:space="preserve">Current Price (Jun 2026)</t>
  </si>
  <si>
    <t xml:space="preserve">Yahoo Finance — June 2026 approximate (~$45/share)</t>
  </si>
  <si>
    <t xml:space="preserve">Upside / (Downside)</t>
  </si>
  <si>
    <t xml:space="preserve">Base case implies +5.7% upside vs current market price ($45)</t>
  </si>
  <si>
    <t xml:space="preserve">NIKE INC — SENSITIVITY ANALYSIS</t>
  </si>
  <si>
    <t xml:space="preserve">SCENARIO ANALYSIS — Implied Share Price</t>
  </si>
  <si>
    <t xml:space="preserve">Scenario</t>
  </si>
  <si>
    <t xml:space="preserve">Terminal growth (g)</t>
  </si>
  <si>
    <t xml:space="preserve">vs Current Price ($45)</t>
  </si>
  <si>
    <t xml:space="preserve">Recommendation</t>
  </si>
  <si>
    <t xml:space="preserve">Bear Case</t>
  </si>
  <si>
    <t xml:space="preserve">Sell</t>
  </si>
  <si>
    <t xml:space="preserve">Base Case</t>
  </si>
  <si>
    <t xml:space="preserve">Hold</t>
  </si>
  <si>
    <t xml:space="preserve">Bull Case</t>
  </si>
  <si>
    <t xml:space="preserve">Buy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</si>
</sst>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#,##0"/>
    <numFmt numFmtId="168" formatCode="0.0"/>
    <numFmt numFmtId="169" formatCode="0.00%"/>
    <numFmt numFmtId="170" formatCode="0.00"/>
  </numFmts>
  <fonts count="4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2"/>
      <color theme="3" tint="0.0999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9" tint="0.3999"/>
      <name val="Aptos Narrow"/>
      <family val="2"/>
      <charset val="1"/>
    </font>
    <font>
      <sz val="12"/>
      <color rgb="FF0070C0"/>
      <name val="Aptos Narrow"/>
      <family val="2"/>
      <charset val="1"/>
    </font>
    <font>
      <i val="true"/>
      <sz val="12"/>
      <color theme="0" tint="-0.35"/>
      <name val="Arial"/>
      <family val="2"/>
      <charset val="1"/>
    </font>
    <font>
      <i val="true"/>
      <sz val="12"/>
      <color theme="0" tint="-0.35"/>
      <name val="Aptos Narrow"/>
      <family val="2"/>
      <charset val="1"/>
    </font>
    <font>
      <b val="true"/>
      <i val="true"/>
      <sz val="12"/>
      <color theme="1"/>
      <name val="Aptos Narrow"/>
      <family val="0"/>
      <charset val="1"/>
    </font>
    <font>
      <i val="true"/>
      <sz val="12"/>
      <color theme="1"/>
      <name val="Aptos Narrow"/>
      <family val="0"/>
      <charset val="1"/>
    </font>
    <font>
      <b val="true"/>
      <sz val="10"/>
      <color theme="3" tint="0.0999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  <font>
      <i val="true"/>
      <sz val="10"/>
      <color theme="1"/>
      <name val="Aptos Narrow"/>
      <family val="0"/>
      <charset val="1"/>
    </font>
    <font>
      <b val="true"/>
      <sz val="11"/>
      <color theme="0"/>
      <name val="Arial"/>
      <family val="2"/>
      <charset val="1"/>
    </font>
    <font>
      <sz val="12"/>
      <color theme="1"/>
      <name val="Aptos Narrow"/>
      <family val="0"/>
      <charset val="1"/>
    </font>
    <font>
      <b val="true"/>
      <sz val="12"/>
      <color theme="9" tint="-0.25"/>
      <name val="Aptos Narrow"/>
      <family val="0"/>
      <charset val="1"/>
    </font>
    <font>
      <b val="true"/>
      <sz val="12"/>
      <color theme="3" tint="0.0999"/>
      <name val="Aptos Narrow"/>
      <family val="2"/>
      <charset val="1"/>
    </font>
    <font>
      <sz val="12"/>
      <color theme="9" tint="0.5999"/>
      <name val="Aptos Narrow"/>
      <family val="2"/>
      <charset val="1"/>
    </font>
    <font>
      <sz val="12"/>
      <color theme="0" tint="-0.5"/>
      <name val="Arial"/>
      <family val="2"/>
      <charset val="1"/>
    </font>
    <font>
      <b val="true"/>
      <sz val="12"/>
      <color theme="9" tint="0.5999"/>
      <name val="Arial"/>
      <family val="2"/>
      <charset val="1"/>
    </font>
    <font>
      <b val="true"/>
      <sz val="14"/>
      <color rgb="FF3A3A3A"/>
      <name val="Aptos Narrow"/>
      <family val="2"/>
    </font>
    <font>
      <b val="true"/>
      <sz val="9"/>
      <color rgb="FF595959"/>
      <name val="Aptos Narrow"/>
      <family val="2"/>
    </font>
    <font>
      <b val="true"/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9"/>
      <color rgb="FFFFFFFF"/>
      <name val="Aptos Narrow"/>
      <family val="2"/>
    </font>
    <font>
      <b val="true"/>
      <sz val="14"/>
      <color theme="0"/>
      <name val="Aptos Narrow"/>
      <family val="0"/>
      <charset val="1"/>
    </font>
    <font>
      <sz val="12"/>
      <color theme="3" tint="0.2499"/>
      <name val="Aptos Narrow"/>
      <family val="2"/>
      <charset val="1"/>
    </font>
    <font>
      <sz val="10"/>
      <color theme="1"/>
      <name val="Arial"/>
      <family val="2"/>
      <charset val="1"/>
    </font>
    <font>
      <i val="true"/>
      <sz val="12"/>
      <color theme="1"/>
      <name val="Arial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color theme="1"/>
      <name val="Arial Unicode M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0999"/>
        <bgColor rgb="FF3A3A3A"/>
      </patternFill>
    </fill>
    <fill>
      <patternFill patternType="solid">
        <fgColor rgb="FFFFC000"/>
        <bgColor rgb="FFFF9900"/>
      </patternFill>
    </fill>
    <fill>
      <patternFill patternType="solid">
        <fgColor theme="9" tint="0.5999"/>
        <bgColor rgb="FF8ED973"/>
      </patternFill>
    </fill>
    <fill>
      <patternFill patternType="solid">
        <fgColor theme="0" tint="-0.15"/>
        <bgColor rgb="FFB4E5A2"/>
      </patternFill>
    </fill>
    <fill>
      <patternFill patternType="solid">
        <fgColor theme="0" tint="-0.35"/>
        <bgColor rgb="FF9999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8ED97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8ED97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215F9A"/>
      <rgbColor rgb="FF0000FF"/>
      <rgbColor rgb="FF00B0F0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46B1E1"/>
      <rgbColor rgb="FF92D050"/>
      <rgbColor rgb="FFFFC000"/>
      <rgbColor rgb="FFFF9900"/>
      <rgbColor rgb="FFFF6600"/>
      <rgbColor rgb="FF595959"/>
      <rgbColor rgb="FFA6A6A6"/>
      <rgbColor rgb="FF163E64"/>
      <rgbColor rgb="FF3A7D22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3a3a3a"/>
                </a:solidFill>
                <a:latin typeface="Aptos Narrow"/>
              </a:defRPr>
            </a:pPr>
            <a:r>
              <a:rPr b="1" lang="en-US" sz="1400" spc="-1" strike="noStrike">
                <a:solidFill>
                  <a:srgbClr val="3a3a3a"/>
                </a:solidFill>
                <a:latin typeface="Aptos Narrow"/>
              </a:rPr>
              <a:t>Nike Revenue by Segment (FY2023-2025, 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'05-DASH'!$B$22</c:f>
              <c:strCache>
                <c:ptCount val="1"/>
                <c:pt idx="0">
                  <c:v>FY2023A</c:v>
                </c:pt>
              </c:strCache>
            </c:strRef>
          </c:tx>
          <c:spPr>
            <a:solidFill>
              <a:srgbClr val="215f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'05-DASH'!$B$23:$B$27</c:f>
              <c:numCache>
                <c:formatCode>#,##0</c:formatCode>
                <c:ptCount val="5"/>
                <c:pt idx="0">
                  <c:v>21608</c:v>
                </c:pt>
                <c:pt idx="1">
                  <c:v>13418</c:v>
                </c:pt>
                <c:pt idx="2">
                  <c:v>6431</c:v>
                </c:pt>
                <c:pt idx="3">
                  <c:v>7248</c:v>
                </c:pt>
                <c:pt idx="4">
                  <c:v>2427</c:v>
                </c:pt>
              </c:numCache>
            </c:numRef>
          </c:val>
        </c:ser>
        <c:ser>
          <c:idx val="1"/>
          <c:order val="1"/>
          <c:tx>
            <c:strRef>
              <c:f>'05-DASH'!$C$22</c:f>
              <c:strCache>
                <c:ptCount val="1"/>
                <c:pt idx="0">
                  <c:v>FY2024A</c:v>
                </c:pt>
              </c:strCache>
            </c:strRef>
          </c:tx>
          <c:spPr>
            <a:solidFill>
              <a:srgbClr val="46b1e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'05-DASH'!$C$23:$C$27</c:f>
              <c:numCache>
                <c:formatCode>#,##0</c:formatCode>
                <c:ptCount val="5"/>
                <c:pt idx="0">
                  <c:v>21396</c:v>
                </c:pt>
                <c:pt idx="1">
                  <c:v>13607</c:v>
                </c:pt>
                <c:pt idx="2">
                  <c:v>6729</c:v>
                </c:pt>
                <c:pt idx="3">
                  <c:v>7545</c:v>
                </c:pt>
                <c:pt idx="4">
                  <c:v>2082</c:v>
                </c:pt>
              </c:numCache>
            </c:numRef>
          </c:val>
        </c:ser>
        <c:ser>
          <c:idx val="2"/>
          <c:order val="2"/>
          <c:tx>
            <c:strRef>
              <c:f>'05-DASH'!$D$22</c:f>
              <c:strCache>
                <c:ptCount val="1"/>
                <c:pt idx="0">
                  <c:v>FY2025A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'05-DASH'!$A$23:$A$27</c:f>
              <c:strCache>
                <c:ptCount val="5"/>
                <c:pt idx="0">
                  <c:v>North America</c:v>
                </c:pt>
                <c:pt idx="1">
                  <c:v>EMEA</c:v>
                </c:pt>
                <c:pt idx="2">
                  <c:v>APLA</c:v>
                </c:pt>
                <c:pt idx="3">
                  <c:v>Greater China</c:v>
                </c:pt>
                <c:pt idx="4">
                  <c:v>Converse</c:v>
                </c:pt>
              </c:strCache>
            </c:strRef>
          </c:cat>
          <c:val>
            <c:numRef>
              <c:f>'05-DASH'!$D$23:$D$27</c:f>
              <c:numCache>
                <c:formatCode>#,##0</c:formatCode>
                <c:ptCount val="5"/>
                <c:pt idx="0">
                  <c:v>19572</c:v>
                </c:pt>
                <c:pt idx="1">
                  <c:v>12257</c:v>
                </c:pt>
                <c:pt idx="2">
                  <c:v>6251</c:v>
                </c:pt>
                <c:pt idx="3">
                  <c:v>6586</c:v>
                </c:pt>
                <c:pt idx="4">
                  <c:v>1692</c:v>
                </c:pt>
              </c:numCache>
            </c:numRef>
          </c:val>
        </c:ser>
        <c:gapWidth val="219"/>
        <c:overlap val="-27"/>
        <c:axId val="17998092"/>
        <c:axId val="13838690"/>
      </c:barChart>
      <c:catAx>
        <c:axId val="179980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3838690"/>
        <c:crosses val="autoZero"/>
        <c:auto val="1"/>
        <c:lblAlgn val="ctr"/>
        <c:lblOffset val="100"/>
        <c:noMultiLvlLbl val="0"/>
      </c:catAx>
      <c:valAx>
        <c:axId val="138386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79980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43000">
          <a:srgbClr val="ffffff"/>
        </a:gs>
        <a:gs pos="100000">
          <a:srgbClr val="156082"/>
        </a:gs>
      </a:gsLst>
      <a:path path="circle">
        <a:fillToRect l="50000" t="0" r="50000" b="100000"/>
      </a:path>
    </a:gra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Aptos Narrow"/>
              </a:rPr>
              <a:t>Nike Margin Trends (FY2023-2025)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'05-DASH'!$A$31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00b0f0"/>
            </a:solidFill>
            <a:ln cap="rnd" w="2844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'05-DASH'!$B$31:$D$31</c:f>
              <c:numCache>
                <c:formatCode>0.0%</c:formatCode>
                <c:ptCount val="3"/>
                <c:pt idx="0">
                  <c:v>0.435246109690142</c:v>
                </c:pt>
                <c:pt idx="1">
                  <c:v>0.445601806783225</c:v>
                </c:pt>
                <c:pt idx="2">
                  <c:v>0.427346736055626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'05-DASH'!$A$32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'05-DASH'!$B$32:$D$32</c:f>
              <c:numCache>
                <c:formatCode>0.0%</c:formatCode>
                <c:ptCount val="3"/>
                <c:pt idx="0">
                  <c:v>0.129214909112209</c:v>
                </c:pt>
                <c:pt idx="1">
                  <c:v>0.138370779954052</c:v>
                </c:pt>
                <c:pt idx="2">
                  <c:v>0.0966766719212248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'05-DASH'!$A$33</c:f>
              <c:strCache>
                <c:ptCount val="1"/>
                <c:pt idx="0">
                  <c:v>Net Margin %</c:v>
                </c:pt>
              </c:strCache>
            </c:strRef>
          </c:tx>
          <c:spPr>
            <a:solidFill>
              <a:srgbClr val="ffff00"/>
            </a:solidFill>
            <a:ln cap="rnd" w="28440">
              <a:solidFill>
                <a:srgbClr val="fff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'05-DASH'!$B$30:$D$30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'05-DASH'!$B$33:$D$33</c:f>
              <c:numCache>
                <c:formatCode>0.0%</c:formatCode>
                <c:ptCount val="3"/>
                <c:pt idx="0">
                  <c:v>0.0989905695374583</c:v>
                </c:pt>
                <c:pt idx="1">
                  <c:v>0.110976986877458</c:v>
                </c:pt>
                <c:pt idx="2">
                  <c:v>0.0695113260921203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611207"/>
        <c:axId val="71685053"/>
      </c:lineChart>
      <c:catAx>
        <c:axId val="60611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685053"/>
        <c:crosses val="autoZero"/>
        <c:auto val="1"/>
        <c:lblAlgn val="ctr"/>
        <c:lblOffset val="100"/>
        <c:noMultiLvlLbl val="0"/>
      </c:catAx>
      <c:valAx>
        <c:axId val="716850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06112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47000">
          <a:srgbClr val="ffffff"/>
        </a:gs>
        <a:gs pos="100000">
          <a:srgbClr val="156082"/>
        </a:gs>
      </a:gsLst>
      <a:path path="circle">
        <a:fillToRect l="50000" t="0" r="50000" b="100000"/>
      </a:path>
    </a:gra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3a3a3a"/>
                </a:solidFill>
                <a:latin typeface="Aptos Narrow"/>
              </a:defRPr>
            </a:pPr>
            <a:r>
              <a:rPr b="1" lang="en-US" sz="1400" spc="-1" strike="noStrike">
                <a:solidFill>
                  <a:srgbClr val="3a3a3a"/>
                </a:solidFill>
                <a:latin typeface="Aptos Narrow"/>
              </a:rPr>
              <a:t>Nike FCF vs CapEx (FY2023-2025, 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'05-DASH'!$A$37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215f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'05-DASH'!$B$36:$D$36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'05-DASH'!$B$37:$D$37</c:f>
              <c:numCache>
                <c:formatCode>#,##0</c:formatCode>
                <c:ptCount val="3"/>
                <c:pt idx="0">
                  <c:v>4872</c:v>
                </c:pt>
                <c:pt idx="1">
                  <c:v>6617</c:v>
                </c:pt>
                <c:pt idx="2">
                  <c:v>3268</c:v>
                </c:pt>
              </c:numCache>
            </c:numRef>
          </c:val>
        </c:ser>
        <c:ser>
          <c:idx val="1"/>
          <c:order val="1"/>
          <c:tx>
            <c:strRef>
              <c:f>'05-DASH'!$A$38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'05-DASH'!$B$36:$D$36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'05-DASH'!$B$38:$D$38</c:f>
              <c:numCache>
                <c:formatCode>General</c:formatCode>
                <c:ptCount val="3"/>
                <c:pt idx="0">
                  <c:v>-969</c:v>
                </c:pt>
                <c:pt idx="1">
                  <c:v>-812</c:v>
                </c:pt>
                <c:pt idx="2">
                  <c:v>-430</c:v>
                </c:pt>
              </c:numCache>
            </c:numRef>
          </c:val>
        </c:ser>
        <c:gapWidth val="219"/>
        <c:overlap val="-27"/>
        <c:axId val="27868842"/>
        <c:axId val="73245349"/>
      </c:barChart>
      <c:catAx>
        <c:axId val="278688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ffffff"/>
                </a:solidFill>
                <a:latin typeface="Aptos Narrow"/>
              </a:defRPr>
            </a:pPr>
          </a:p>
        </c:txPr>
        <c:crossAx val="73245349"/>
        <c:crosses val="autoZero"/>
        <c:auto val="1"/>
        <c:lblAlgn val="ctr"/>
        <c:lblOffset val="100"/>
        <c:noMultiLvlLbl val="0"/>
      </c:catAx>
      <c:valAx>
        <c:axId val="732453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78688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47000">
          <a:srgbClr val="ffffff"/>
        </a:gs>
        <a:gs pos="100000">
          <a:srgbClr val="156082"/>
        </a:gs>
      </a:gsLst>
      <a:path path="circle">
        <a:fillToRect l="50000" t="0" r="50000" b="100000"/>
      </a:path>
    </a:gra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Aptos Narrow"/>
              </a:rPr>
              <a:t>Nike Key Ratios (FY2023-2025)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'05-DASH'!$A$42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'05-DASH'!$B$42:$D$42</c:f>
              <c:numCache>
                <c:formatCode>0.0%</c:formatCode>
                <c:ptCount val="3"/>
                <c:pt idx="0">
                  <c:v>0.36203941730934</c:v>
                </c:pt>
                <c:pt idx="1">
                  <c:v>0.395010395010395</c:v>
                </c:pt>
                <c:pt idx="2">
                  <c:v>0.24362370392795</c:v>
                </c:pt>
              </c:numCache>
            </c:numRef>
          </c:val>
        </c:ser>
        <c:ser>
          <c:idx val="1"/>
          <c:order val="1"/>
          <c:tx>
            <c:strRef>
              <c:f>'05-DASH'!$A$43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rgbClr val="00b0f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'05-DASH'!$B$43:$D$43</c:f>
              <c:numCache>
                <c:formatCode>0.0</c:formatCode>
                <c:ptCount val="3"/>
                <c:pt idx="0">
                  <c:v>2.72277441659464</c:v>
                </c:pt>
                <c:pt idx="1">
                  <c:v>2.39611063910129</c:v>
                </c:pt>
                <c:pt idx="2">
                  <c:v>2.21105432519402</c:v>
                </c:pt>
              </c:numCache>
            </c:numRef>
          </c:val>
        </c:ser>
        <c:ser>
          <c:idx val="2"/>
          <c:order val="2"/>
          <c:tx>
            <c:strRef>
              <c:f>'05-DASH'!$A$44</c:f>
              <c:strCache>
                <c:ptCount val="1"/>
                <c:pt idx="0">
                  <c:v>Debt/EBITDA</c:v>
                </c:pt>
              </c:strCache>
            </c:strRef>
          </c:tx>
          <c:spPr>
            <a:solidFill>
              <a:srgbClr val="215f9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'05-DASH'!$B$41:$D$41</c:f>
              <c:strCache>
                <c:ptCount val="3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</c:strCache>
            </c:strRef>
          </c:cat>
          <c:val>
            <c:numRef>
              <c:f>'05-DASH'!$B$44:$D$44</c:f>
              <c:numCache>
                <c:formatCode>0.0</c:formatCode>
                <c:ptCount val="3"/>
                <c:pt idx="0">
                  <c:v>1.34889694771834</c:v>
                </c:pt>
                <c:pt idx="1">
                  <c:v>1.11200225130153</c:v>
                </c:pt>
                <c:pt idx="2">
                  <c:v>1.7781996872906</c:v>
                </c:pt>
              </c:numCache>
            </c:numRef>
          </c:val>
        </c:ser>
        <c:gapWidth val="182"/>
        <c:overlap val="0"/>
        <c:axId val="55936400"/>
        <c:axId val="56656249"/>
      </c:barChart>
      <c:catAx>
        <c:axId val="55936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6656249"/>
        <c:crosses val="autoZero"/>
        <c:auto val="1"/>
        <c:lblAlgn val="ctr"/>
        <c:lblOffset val="100"/>
        <c:noMultiLvlLbl val="0"/>
      </c:catAx>
      <c:valAx>
        <c:axId val="566562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9364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gradFill>
      <a:gsLst>
        <a:gs pos="0">
          <a:srgbClr val="ffffff"/>
        </a:gs>
        <a:gs pos="47000">
          <a:srgbClr val="ffffff"/>
        </a:gs>
        <a:gs pos="100000">
          <a:srgbClr val="156082"/>
        </a:gs>
      </a:gsLst>
      <a:path path="circle">
        <a:fillToRect l="50000" t="0" r="50000" b="100000"/>
      </a:path>
    </a:gra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Aptos Narrow"/>
              </a:rPr>
              <a:t>Nike Net Income Trend (FY2023-2027E, 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'05-DASH'!$A$49</c:f>
              <c:strCache>
                <c:ptCount val="1"/>
                <c:pt idx="0">
                  <c:v>Net Income ($mm)</c:v>
                </c:pt>
              </c:strCache>
            </c:strRef>
          </c:tx>
          <c:spPr>
            <a:solidFill>
              <a:srgbClr val="215f9a"/>
            </a:solidFill>
            <a:ln cap="rnd" w="28440">
              <a:solidFill>
                <a:srgbClr val="215f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'05-DASH'!$B$48:$F$48</c:f>
              <c:strCache>
                <c:ptCount val="5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</c:strCache>
            </c:strRef>
          </c:cat>
          <c:val>
            <c:numRef>
              <c:f>'05-DASH'!$B$49:$F$49</c:f>
              <c:numCache>
                <c:formatCode>#,##0</c:formatCode>
                <c:ptCount val="5"/>
                <c:pt idx="0">
                  <c:v>5070</c:v>
                </c:pt>
                <c:pt idx="1">
                  <c:v>5700</c:v>
                </c:pt>
                <c:pt idx="2">
                  <c:v>3219</c:v>
                </c:pt>
                <c:pt idx="3">
                  <c:v>5324.64011125</c:v>
                </c:pt>
                <c:pt idx="4">
                  <c:v>6123.1629852625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93429"/>
        <c:axId val="27403064"/>
      </c:lineChart>
      <c:catAx>
        <c:axId val="575934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7403064"/>
        <c:crosses val="autoZero"/>
        <c:auto val="1"/>
        <c:lblAlgn val="ctr"/>
        <c:lblOffset val="100"/>
        <c:noMultiLvlLbl val="0"/>
      </c:catAx>
      <c:valAx>
        <c:axId val="274030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7593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47000">
          <a:srgbClr val="ffffff"/>
        </a:gs>
        <a:gs pos="100000">
          <a:srgbClr val="156082"/>
        </a:gs>
      </a:gsLst>
      <a:path path="circle">
        <a:fillToRect l="50000" t="0" r="50000" b="100000"/>
      </a:path>
    </a:gra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747720</xdr:colOff>
      <xdr:row>4</xdr:row>
      <xdr:rowOff>79200</xdr:rowOff>
    </xdr:from>
    <xdr:to>
      <xdr:col>13</xdr:col>
      <xdr:colOff>412920</xdr:colOff>
      <xdr:row>18</xdr:row>
      <xdr:rowOff>16920</xdr:rowOff>
    </xdr:to>
    <xdr:graphicFrame>
      <xdr:nvGraphicFramePr>
        <xdr:cNvPr id="0" name="Chart 1"/>
        <xdr:cNvGraphicFramePr/>
      </xdr:nvGraphicFramePr>
      <xdr:xfrm>
        <a:off x="13978080" y="907920"/>
        <a:ext cx="5780160" cy="273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413280</xdr:colOff>
      <xdr:row>4</xdr:row>
      <xdr:rowOff>79920</xdr:rowOff>
    </xdr:from>
    <xdr:to>
      <xdr:col>19</xdr:col>
      <xdr:colOff>147960</xdr:colOff>
      <xdr:row>17</xdr:row>
      <xdr:rowOff>180000</xdr:rowOff>
    </xdr:to>
    <xdr:graphicFrame>
      <xdr:nvGraphicFramePr>
        <xdr:cNvPr id="1" name="Chart 2"/>
        <xdr:cNvGraphicFramePr/>
      </xdr:nvGraphicFramePr>
      <xdr:xfrm>
        <a:off x="19758600" y="908640"/>
        <a:ext cx="5849640" cy="270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737640</xdr:colOff>
      <xdr:row>18</xdr:row>
      <xdr:rowOff>10800</xdr:rowOff>
    </xdr:from>
    <xdr:to>
      <xdr:col>13</xdr:col>
      <xdr:colOff>388800</xdr:colOff>
      <xdr:row>31</xdr:row>
      <xdr:rowOff>83520</xdr:rowOff>
    </xdr:to>
    <xdr:graphicFrame>
      <xdr:nvGraphicFramePr>
        <xdr:cNvPr id="2" name="Chart 3"/>
        <xdr:cNvGraphicFramePr/>
      </xdr:nvGraphicFramePr>
      <xdr:xfrm>
        <a:off x="13968000" y="3639960"/>
        <a:ext cx="5766120" cy="26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412560</xdr:colOff>
      <xdr:row>18</xdr:row>
      <xdr:rowOff>10440</xdr:rowOff>
    </xdr:from>
    <xdr:to>
      <xdr:col>19</xdr:col>
      <xdr:colOff>154800</xdr:colOff>
      <xdr:row>31</xdr:row>
      <xdr:rowOff>83160</xdr:rowOff>
    </xdr:to>
    <xdr:graphicFrame>
      <xdr:nvGraphicFramePr>
        <xdr:cNvPr id="3" name="Chart 4"/>
        <xdr:cNvGraphicFramePr/>
      </xdr:nvGraphicFramePr>
      <xdr:xfrm>
        <a:off x="19757880" y="3639600"/>
        <a:ext cx="5857200" cy="26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744480</xdr:colOff>
      <xdr:row>31</xdr:row>
      <xdr:rowOff>94680</xdr:rowOff>
    </xdr:from>
    <xdr:to>
      <xdr:col>19</xdr:col>
      <xdr:colOff>168120</xdr:colOff>
      <xdr:row>48</xdr:row>
      <xdr:rowOff>47880</xdr:rowOff>
    </xdr:to>
    <xdr:graphicFrame>
      <xdr:nvGraphicFramePr>
        <xdr:cNvPr id="4" name="Chart 5"/>
        <xdr:cNvGraphicFramePr/>
      </xdr:nvGraphicFramePr>
      <xdr:xfrm>
        <a:off x="13974840" y="6324120"/>
        <a:ext cx="11653560" cy="335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41" activeCellId="0" sqref="J41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39"/>
    <col collapsed="false" customWidth="true" hidden="false" outlineLevel="0" max="2" min="2" style="1" width="14.83"/>
    <col collapsed="false" customWidth="true" hidden="false" outlineLevel="0" max="6" min="3" style="1" width="14.67"/>
    <col collapsed="false" customWidth="true" hidden="false" outlineLevel="0" max="7" min="7" style="1" width="32.8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 t="s">
        <v>7</v>
      </c>
    </row>
    <row r="4" customFormat="false" ht="15.75" hidden="false" customHeight="true" outlineLevel="0" collapsed="false">
      <c r="A4" s="5" t="s">
        <v>8</v>
      </c>
      <c r="B4" s="6"/>
      <c r="C4" s="6"/>
      <c r="D4" s="6"/>
      <c r="E4" s="7"/>
      <c r="F4" s="7"/>
      <c r="G4" s="6"/>
    </row>
    <row r="5" customFormat="false" ht="15.75" hidden="false" customHeight="true" outlineLevel="0" collapsed="false">
      <c r="A5" s="8" t="s">
        <v>9</v>
      </c>
      <c r="B5" s="9" t="s">
        <v>10</v>
      </c>
      <c r="C5" s="9" t="n">
        <f aca="false">IFERROR(('02-IS'!C11-'02-IS'!B11)/'02-IS'!B11,"-")</f>
        <v>0.00283109123923697</v>
      </c>
      <c r="D5" s="9" t="n">
        <f aca="false">IFERROR(('02-IS'!D11-'02-IS'!C11)/'02-IS'!C11,"-")</f>
        <v>-0.0983801253845255</v>
      </c>
      <c r="E5" s="10" t="n">
        <v>0.05</v>
      </c>
      <c r="F5" s="10" t="n">
        <v>0.07</v>
      </c>
      <c r="G5" s="11" t="s">
        <v>11</v>
      </c>
    </row>
    <row r="6" customFormat="false" ht="15.75" hidden="false" customHeight="true" outlineLevel="0" collapsed="false">
      <c r="A6" s="8" t="s">
        <v>12</v>
      </c>
      <c r="B6" s="12"/>
      <c r="C6" s="12"/>
      <c r="D6" s="12"/>
      <c r="E6" s="10" t="n">
        <v>0.04</v>
      </c>
      <c r="F6" s="10" t="n">
        <v>0.06</v>
      </c>
      <c r="G6" s="11"/>
    </row>
    <row r="7" customFormat="false" ht="15.75" hidden="false" customHeight="true" outlineLevel="0" collapsed="false">
      <c r="A7" s="8" t="s">
        <v>13</v>
      </c>
      <c r="B7" s="12"/>
      <c r="C7" s="12"/>
      <c r="D7" s="12"/>
      <c r="E7" s="10" t="n">
        <v>0.06</v>
      </c>
      <c r="F7" s="10" t="n">
        <v>0.08</v>
      </c>
      <c r="G7" s="11"/>
    </row>
    <row r="8" customFormat="false" ht="15.75" hidden="false" customHeight="true" outlineLevel="0" collapsed="false">
      <c r="A8" s="8" t="s">
        <v>14</v>
      </c>
      <c r="B8" s="12"/>
      <c r="C8" s="12"/>
      <c r="D8" s="12"/>
      <c r="E8" s="10" t="n">
        <v>0.07</v>
      </c>
      <c r="F8" s="10" t="n">
        <v>0.09</v>
      </c>
      <c r="G8" s="11"/>
    </row>
    <row r="9" customFormat="false" ht="15.75" hidden="false" customHeight="true" outlineLevel="0" collapsed="false">
      <c r="A9" s="8" t="s">
        <v>15</v>
      </c>
      <c r="B9" s="12"/>
      <c r="C9" s="12"/>
      <c r="D9" s="12"/>
      <c r="E9" s="10" t="n">
        <v>0.05</v>
      </c>
      <c r="F9" s="10" t="n">
        <v>0.08</v>
      </c>
      <c r="G9" s="11"/>
    </row>
    <row r="10" customFormat="false" ht="15.75" hidden="false" customHeight="true" outlineLevel="0" collapsed="false">
      <c r="A10" s="8" t="s">
        <v>16</v>
      </c>
      <c r="B10" s="12"/>
      <c r="C10" s="12"/>
      <c r="D10" s="12"/>
      <c r="E10" s="10" t="n">
        <v>0.03</v>
      </c>
      <c r="F10" s="10" t="n">
        <v>0.05</v>
      </c>
      <c r="G10" s="11"/>
    </row>
    <row r="11" customFormat="false" ht="15.75" hidden="false" customHeight="true" outlineLevel="0" collapsed="false">
      <c r="A11" s="8" t="s">
        <v>17</v>
      </c>
      <c r="B11" s="12"/>
      <c r="C11" s="12"/>
      <c r="D11" s="12"/>
      <c r="E11" s="10" t="n">
        <v>0.03</v>
      </c>
      <c r="F11" s="10" t="n">
        <v>0.05</v>
      </c>
      <c r="G11" s="11"/>
    </row>
    <row r="12" customFormat="false" ht="15.75" hidden="false" customHeight="true" outlineLevel="0" collapsed="false">
      <c r="A12" s="8"/>
      <c r="E12" s="13"/>
      <c r="F12" s="13"/>
      <c r="G12" s="11"/>
    </row>
    <row r="13" customFormat="false" ht="15.75" hidden="false" customHeight="true" outlineLevel="0" collapsed="false">
      <c r="A13" s="5" t="s">
        <v>18</v>
      </c>
      <c r="B13" s="6"/>
      <c r="C13" s="6"/>
      <c r="D13" s="6"/>
      <c r="E13" s="14"/>
      <c r="F13" s="14"/>
      <c r="G13" s="15"/>
    </row>
    <row r="14" customFormat="false" ht="15.75" hidden="false" customHeight="true" outlineLevel="0" collapsed="false">
      <c r="A14" s="8" t="s">
        <v>19</v>
      </c>
      <c r="B14" s="9" t="n">
        <f aca="false">IFERROR('02-IS'!B13/'02-IS'!B11,"-")</f>
        <v>0.435246109690142</v>
      </c>
      <c r="C14" s="9" t="n">
        <f aca="false">IFERROR('02-IS'!C13/'02-IS'!C11,"-")</f>
        <v>0.445601806783225</v>
      </c>
      <c r="D14" s="9" t="n">
        <f aca="false">IFERROR('02-IS'!D13/'02-IS'!D11,"-")</f>
        <v>0.427346736055626</v>
      </c>
      <c r="E14" s="10" t="n">
        <v>0.445</v>
      </c>
      <c r="F14" s="10" t="n">
        <v>0.45</v>
      </c>
      <c r="G14" s="11" t="s">
        <v>20</v>
      </c>
    </row>
    <row r="15" customFormat="false" ht="15.75" hidden="false" customHeight="true" outlineLevel="0" collapsed="false">
      <c r="A15" s="8" t="s">
        <v>21</v>
      </c>
      <c r="B15" s="9" t="n">
        <f aca="false">IFERROR('02-IS'!B16/'02-IS'!B11,"-")</f>
        <v>0.319757111896441</v>
      </c>
      <c r="C15" s="9" t="n">
        <f aca="false">IFERROR('02-IS'!C16/'02-IS'!C11,"-")</f>
        <v>0.322728865698376</v>
      </c>
      <c r="D15" s="9" t="n">
        <f aca="false">IFERROR('02-IS'!D16/'02-IS'!D11,"-")</f>
        <v>0.3474054719385</v>
      </c>
      <c r="E15" s="10" t="n">
        <v>0.31</v>
      </c>
      <c r="F15" s="10" t="n">
        <v>0.305</v>
      </c>
      <c r="G15" s="11" t="s">
        <v>22</v>
      </c>
    </row>
    <row r="16" customFormat="false" ht="15.75" hidden="false" customHeight="true" outlineLevel="0" collapsed="false">
      <c r="A16" s="8" t="s">
        <v>23</v>
      </c>
      <c r="B16" s="9" t="n">
        <f aca="false">IFERROR('02-IS'!B14/'02-IS'!B11,"-")</f>
        <v>0.0792705546986352</v>
      </c>
      <c r="C16" s="9" t="n">
        <f aca="false">IFERROR('02-IS'!C14/'02-IS'!C11,"-")</f>
        <v>0.0834274366262996</v>
      </c>
      <c r="D16" s="16" t="n">
        <f aca="false">IFERROR('02-IS'!D14/'02-IS'!D11,"-")</f>
        <v>0.101254615733443</v>
      </c>
      <c r="E16" s="10" t="n">
        <v>0.083</v>
      </c>
      <c r="F16" s="10" t="n">
        <v>0.082</v>
      </c>
      <c r="G16" s="11"/>
    </row>
    <row r="17" customFormat="false" ht="15.75" hidden="false" customHeight="true" outlineLevel="0" collapsed="false">
      <c r="A17" s="8" t="s">
        <v>24</v>
      </c>
      <c r="B17" s="9" t="n">
        <f aca="false">IFERROR('02-IS'!B15/'02-IS'!B11,"-")</f>
        <v>0.240486557197805</v>
      </c>
      <c r="C17" s="9" t="n">
        <f aca="false">IFERROR('02-IS'!C15/'02-IS'!C11,"-")</f>
        <v>0.239301429072077</v>
      </c>
      <c r="D17" s="9" t="n">
        <f aca="false">IFERROR('02-IS'!D15/'02-IS'!D11,"-")</f>
        <v>0.246150856205057</v>
      </c>
      <c r="E17" s="10" t="n">
        <v>0.227</v>
      </c>
      <c r="F17" s="10" t="n">
        <v>0.223</v>
      </c>
      <c r="G17" s="11"/>
    </row>
    <row r="18" customFormat="false" ht="15.75" hidden="false" customHeight="true" outlineLevel="0" collapsed="false">
      <c r="A18" s="8" t="s">
        <v>25</v>
      </c>
      <c r="B18" s="9" t="n">
        <f aca="false">IFERROR('02-IS'!B23/'02-IS'!B22,"-")</f>
        <v>0.182389937106918</v>
      </c>
      <c r="C18" s="9" t="n">
        <f aca="false">IFERROR('02-IS'!C23/'02-IS'!C22,"-")</f>
        <v>0.149253731343284</v>
      </c>
      <c r="D18" s="9" t="n">
        <f aca="false">IFERROR('02-IS'!D23/'02-IS'!D22,"-")</f>
        <v>0.171428571428571</v>
      </c>
      <c r="E18" s="10" t="n">
        <v>0.185</v>
      </c>
      <c r="F18" s="10" t="n">
        <v>0.185</v>
      </c>
      <c r="G18" s="11" t="s">
        <v>26</v>
      </c>
    </row>
    <row r="19" customFormat="false" ht="15.75" hidden="false" customHeight="true" outlineLevel="0" collapsed="false">
      <c r="A19" s="8"/>
      <c r="E19" s="13"/>
      <c r="F19" s="13"/>
      <c r="G19" s="11"/>
    </row>
    <row r="20" customFormat="false" ht="15.75" hidden="false" customHeight="true" outlineLevel="0" collapsed="false">
      <c r="A20" s="5" t="s">
        <v>27</v>
      </c>
      <c r="B20" s="6"/>
      <c r="C20" s="6"/>
      <c r="D20" s="6"/>
      <c r="E20" s="14"/>
      <c r="F20" s="14"/>
      <c r="G20" s="15"/>
    </row>
    <row r="21" customFormat="false" ht="15.75" hidden="false" customHeight="true" outlineLevel="0" collapsed="false">
      <c r="A21" s="8" t="s">
        <v>28</v>
      </c>
      <c r="B21" s="9" t="n">
        <f aca="false">IFERROR(ABS('03-CFS'!B6)/'02-IS'!B11,"-")</f>
        <v>0.0137259113185075</v>
      </c>
      <c r="C21" s="9" t="n">
        <f aca="false">IFERROR(ABS('03-CFS'!C6)/'02-IS'!C11,"-")</f>
        <v>0.0154978388692029</v>
      </c>
      <c r="D21" s="9" t="n">
        <f aca="false">IFERROR(ABS('03-CFS'!D6)/'02-IS'!D11,"-")</f>
        <v>0.0167354078040986</v>
      </c>
      <c r="E21" s="10" t="n">
        <v>0.032</v>
      </c>
      <c r="F21" s="10" t="n">
        <v>0.032</v>
      </c>
      <c r="G21" s="11" t="s">
        <v>29</v>
      </c>
    </row>
    <row r="22" customFormat="false" ht="15.75" hidden="false" customHeight="true" outlineLevel="0" collapsed="false">
      <c r="A22" s="8" t="s">
        <v>30</v>
      </c>
      <c r="B22" s="9" t="n">
        <f aca="false">IFERROR(ABS('03-CFS'!B17)/'02-IS'!B11,"-")</f>
        <v>0.0189194993849698</v>
      </c>
      <c r="C22" s="9" t="n">
        <f aca="false">IFERROR(ABS('03-CFS'!C17)/'02-IS'!C11,"-")</f>
        <v>0.0158093532183326</v>
      </c>
      <c r="D22" s="9" t="n">
        <f aca="false">IFERROR(ABS('03-CFS'!D17)/'02-IS'!D11,"-")</f>
        <v>0.00928545207195146</v>
      </c>
      <c r="E22" s="10" t="n">
        <v>0.035</v>
      </c>
      <c r="F22" s="10" t="n">
        <v>0.034</v>
      </c>
      <c r="G22" s="11" t="s">
        <v>31</v>
      </c>
    </row>
    <row r="23" customFormat="false" ht="15.75" hidden="false" customHeight="true" outlineLevel="0" collapsed="false">
      <c r="A23" s="8" t="s">
        <v>32</v>
      </c>
      <c r="B23" s="17"/>
      <c r="C23" s="17"/>
      <c r="D23" s="17"/>
      <c r="E23" s="18"/>
      <c r="F23" s="18"/>
      <c r="G23" s="19"/>
    </row>
    <row r="24" customFormat="false" ht="15.75" hidden="false" customHeight="true" outlineLevel="0" collapsed="false">
      <c r="A24" s="8" t="s">
        <v>33</v>
      </c>
      <c r="B24" s="17"/>
      <c r="C24" s="17"/>
      <c r="D24" s="17"/>
      <c r="E24" s="18"/>
      <c r="F24" s="18"/>
      <c r="G24" s="19"/>
    </row>
    <row r="25" customFormat="false" ht="15.75" hidden="false" customHeight="true" outlineLevel="0" collapsed="false">
      <c r="A25" s="8" t="s">
        <v>34</v>
      </c>
      <c r="B25" s="17"/>
      <c r="C25" s="17"/>
      <c r="D25" s="17"/>
      <c r="E25" s="18"/>
      <c r="F25" s="18"/>
      <c r="G25" s="19"/>
    </row>
    <row r="26" customFormat="false" ht="15.75" hidden="false" customHeight="true" outlineLevel="0" collapsed="false">
      <c r="A26" s="8"/>
      <c r="E26" s="13"/>
      <c r="F26" s="13"/>
      <c r="G26" s="19"/>
    </row>
    <row r="27" customFormat="false" ht="15.75" hidden="false" customHeight="true" outlineLevel="0" collapsed="false">
      <c r="A27" s="5" t="s">
        <v>35</v>
      </c>
      <c r="B27" s="6"/>
      <c r="C27" s="6"/>
      <c r="D27" s="6"/>
      <c r="E27" s="14"/>
      <c r="F27" s="14"/>
      <c r="G27" s="6"/>
    </row>
    <row r="28" customFormat="false" ht="15.75" hidden="false" customHeight="true" outlineLevel="0" collapsed="false">
      <c r="A28" s="8" t="s">
        <v>36</v>
      </c>
      <c r="B28" s="20" t="n">
        <f aca="false">IFERROR(ABS('03-CFS'!B23),"-")</f>
        <v>2012</v>
      </c>
      <c r="C28" s="20" t="n">
        <f aca="false">IFERROR(ABS('03-CFS'!C23),"-")</f>
        <v>2169</v>
      </c>
      <c r="D28" s="20" t="n">
        <f aca="false">IFERROR(ABS('03-CFS'!D23),"-")</f>
        <v>2300</v>
      </c>
      <c r="E28" s="18" t="n">
        <v>2400</v>
      </c>
      <c r="F28" s="18" t="n">
        <v>2500</v>
      </c>
    </row>
    <row r="29" customFormat="false" ht="15.75" hidden="false" customHeight="true" outlineLevel="0" collapsed="false">
      <c r="A29" s="8" t="s">
        <v>37</v>
      </c>
      <c r="B29" s="20" t="n">
        <f aca="false">IFERROR(ABS('03-CFS'!B24),"-")</f>
        <v>5480</v>
      </c>
      <c r="C29" s="20" t="n">
        <f aca="false">IFERROR(ABS('03-CFS'!C24),"-")</f>
        <v>4250</v>
      </c>
      <c r="D29" s="20" t="n">
        <f aca="false">IFERROR(ABS('03-CFS'!D24),"-")</f>
        <v>2985</v>
      </c>
      <c r="E29" s="18" t="n">
        <v>2000</v>
      </c>
      <c r="F29" s="18" t="n">
        <v>2000</v>
      </c>
    </row>
    <row r="30" customFormat="false" ht="15.75" hidden="false" customHeight="true" outlineLevel="0" collapsed="false">
      <c r="A30" s="8" t="s">
        <v>38</v>
      </c>
      <c r="B30" s="20" t="n">
        <f aca="false">IFERROR(ABS('03-CFS'!B25),"-")</f>
        <v>504</v>
      </c>
      <c r="C30" s="20" t="n">
        <f aca="false">IFERROR(ABS('03-CFS'!C25),"-")</f>
        <v>0</v>
      </c>
      <c r="D30" s="20" t="n">
        <f aca="false">IFERROR(ABS('03-CFS'!D25),"-")</f>
        <v>1000</v>
      </c>
      <c r="E30" s="18" t="n">
        <v>0</v>
      </c>
      <c r="F30" s="18" t="n">
        <v>500</v>
      </c>
    </row>
    <row r="33" customFormat="false" ht="15.75" hidden="false" customHeight="true" outlineLevel="0" collapsed="false">
      <c r="A33" s="21" t="s">
        <v>39</v>
      </c>
    </row>
    <row r="34" customFormat="false" ht="15.75" hidden="false" customHeight="true" outlineLevel="0" collapsed="false">
      <c r="A34" s="22" t="s">
        <v>40</v>
      </c>
    </row>
    <row r="35" customFormat="false" ht="15.75" hidden="false" customHeight="true" outlineLevel="0" collapsed="false">
      <c r="A35" s="22" t="s">
        <v>41</v>
      </c>
    </row>
    <row r="36" customFormat="false" ht="15.75" hidden="false" customHeight="true" outlineLevel="0" collapsed="false">
      <c r="A36" s="22" t="s">
        <v>42</v>
      </c>
    </row>
    <row r="37" customFormat="false" ht="15.75" hidden="false" customHeight="true" outlineLevel="0" collapsed="false">
      <c r="A37" s="22" t="s">
        <v>43</v>
      </c>
    </row>
    <row r="38" customFormat="false" ht="15.75" hidden="false" customHeight="true" outlineLevel="0" collapsed="false">
      <c r="A38" s="22" t="s">
        <v>44</v>
      </c>
    </row>
    <row r="39" customFormat="false" ht="15.75" hidden="false" customHeight="true" outlineLevel="0" collapsed="false">
      <c r="A39" s="22" t="s">
        <v>45</v>
      </c>
    </row>
    <row r="40" customFormat="false" ht="15.75" hidden="false" customHeight="true" outlineLevel="0" collapsed="false">
      <c r="A40" s="22" t="s">
        <v>46</v>
      </c>
    </row>
    <row r="41" customFormat="false" ht="15.75" hidden="false" customHeight="true" outlineLevel="0" collapsed="false">
      <c r="A41" s="22" t="s">
        <v>47</v>
      </c>
    </row>
    <row r="42" customFormat="false" ht="15.75" hidden="false" customHeight="true" outlineLevel="0" collapsed="false">
      <c r="A42" s="22" t="s">
        <v>48</v>
      </c>
    </row>
    <row r="43" customFormat="false" ht="15.75" hidden="false" customHeight="true" outlineLevel="0" collapsed="false">
      <c r="A43" s="22" t="s">
        <v>49</v>
      </c>
    </row>
    <row r="44" customFormat="false" ht="15.75" hidden="false" customHeight="true" outlineLevel="0" collapsed="false">
      <c r="A44" s="22" t="s">
        <v>50</v>
      </c>
    </row>
    <row r="45" customFormat="false" ht="15.75" hidden="false" customHeight="true" outlineLevel="0" collapsed="false">
      <c r="A45" s="22" t="s">
        <v>51</v>
      </c>
    </row>
    <row r="46" customFormat="false" ht="15.75" hidden="false" customHeight="true" outlineLevel="0" collapsed="false">
      <c r="A46" s="22" t="s">
        <v>52</v>
      </c>
    </row>
    <row r="47" customFormat="false" ht="15.75" hidden="false" customHeight="true" outlineLevel="0" collapsed="false">
      <c r="A47" s="22" t="s">
        <v>53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67"/>
    <col collapsed="false" customWidth="true" hidden="false" outlineLevel="0" max="4" min="2" style="1" width="14.83"/>
    <col collapsed="false" customWidth="true" hidden="false" outlineLevel="0" max="7" min="5" style="1" width="13.5"/>
    <col collapsed="false" customWidth="true" hidden="false" outlineLevel="0" max="9" min="8" style="1" width="12.83"/>
    <col collapsed="false" customWidth="true" hidden="false" outlineLevel="0" max="11" min="10" style="1" width="14.83"/>
  </cols>
  <sheetData>
    <row r="1" customFormat="false" ht="18" hidden="false" customHeight="true" outlineLevel="0" collapsed="false">
      <c r="A1" s="2" t="s">
        <v>54</v>
      </c>
      <c r="B1" s="2"/>
      <c r="C1" s="2"/>
      <c r="D1" s="2"/>
      <c r="E1" s="2"/>
      <c r="F1" s="2"/>
      <c r="G1" s="2"/>
      <c r="H1" s="2"/>
      <c r="I1" s="2"/>
    </row>
    <row r="3" customFormat="false" ht="15.75" hidden="false" customHeight="true" outlineLevel="0" collapsed="false">
      <c r="A3" s="3" t="s">
        <v>55</v>
      </c>
      <c r="B3" s="3" t="s">
        <v>2</v>
      </c>
      <c r="C3" s="3" t="s">
        <v>3</v>
      </c>
      <c r="D3" s="3" t="s">
        <v>4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23" t="s">
        <v>5</v>
      </c>
      <c r="K3" s="4" t="s">
        <v>6</v>
      </c>
    </row>
    <row r="4" customFormat="false" ht="15.75" hidden="false" customHeight="true" outlineLevel="0" collapsed="false">
      <c r="A4" s="8" t="s">
        <v>61</v>
      </c>
      <c r="B4" s="17" t="n">
        <v>21608</v>
      </c>
      <c r="C4" s="17" t="n">
        <v>21396</v>
      </c>
      <c r="D4" s="17" t="n">
        <v>19572</v>
      </c>
      <c r="E4" s="12"/>
      <c r="F4" s="12"/>
      <c r="G4" s="12"/>
      <c r="H4" s="12"/>
      <c r="I4" s="12"/>
      <c r="J4" s="17" t="n">
        <f aca="false">D4*(1+'01-Assumption'!E6)</f>
        <v>20354.88</v>
      </c>
      <c r="K4" s="17" t="n">
        <f aca="false">J4*(1+'01-Assumption'!F6)</f>
        <v>21576.1728</v>
      </c>
    </row>
    <row r="5" customFormat="false" ht="15.75" hidden="false" customHeight="true" outlineLevel="0" collapsed="false">
      <c r="A5" s="8" t="s">
        <v>62</v>
      </c>
      <c r="B5" s="17" t="n">
        <v>13418</v>
      </c>
      <c r="C5" s="17" t="n">
        <v>13607</v>
      </c>
      <c r="D5" s="17" t="n">
        <v>12257</v>
      </c>
      <c r="E5" s="12"/>
      <c r="F5" s="12"/>
      <c r="G5" s="12"/>
      <c r="H5" s="12"/>
      <c r="I5" s="12"/>
      <c r="J5" s="17" t="n">
        <f aca="false">D5*(1+'01-Assumption'!E7)</f>
        <v>12992.42</v>
      </c>
      <c r="K5" s="17" t="n">
        <f aca="false">J5*(1+'01-Assumption'!F7)</f>
        <v>14031.8136</v>
      </c>
    </row>
    <row r="6" customFormat="false" ht="15.75" hidden="false" customHeight="true" outlineLevel="0" collapsed="false">
      <c r="A6" s="8" t="s">
        <v>63</v>
      </c>
      <c r="B6" s="17" t="n">
        <v>6431</v>
      </c>
      <c r="C6" s="17" t="n">
        <v>6729</v>
      </c>
      <c r="D6" s="17" t="n">
        <v>6251</v>
      </c>
      <c r="E6" s="12"/>
      <c r="F6" s="12"/>
      <c r="G6" s="12"/>
      <c r="H6" s="12"/>
      <c r="I6" s="12"/>
      <c r="J6" s="17" t="n">
        <f aca="false">D6*(1+'01-Assumption'!E8)</f>
        <v>6688.57</v>
      </c>
      <c r="K6" s="17" t="n">
        <f aca="false">J6*(1+'01-Assumption'!F8)</f>
        <v>7290.5413</v>
      </c>
    </row>
    <row r="7" customFormat="false" ht="15.75" hidden="false" customHeight="true" outlineLevel="0" collapsed="false">
      <c r="A7" s="8" t="s">
        <v>64</v>
      </c>
      <c r="B7" s="17" t="n">
        <v>7248</v>
      </c>
      <c r="C7" s="17" t="n">
        <v>7545</v>
      </c>
      <c r="D7" s="17" t="n">
        <v>6586</v>
      </c>
      <c r="E7" s="12"/>
      <c r="F7" s="12"/>
      <c r="G7" s="12"/>
      <c r="H7" s="12"/>
      <c r="I7" s="12"/>
      <c r="J7" s="17" t="n">
        <f aca="false">D7*(1+'01-Assumption'!E9)</f>
        <v>6915.3</v>
      </c>
      <c r="K7" s="17" t="n">
        <f aca="false">J7*(1+'01-Assumption'!F9)</f>
        <v>7468.524</v>
      </c>
    </row>
    <row r="8" customFormat="false" ht="15.75" hidden="false" customHeight="true" outlineLevel="0" collapsed="false">
      <c r="A8" s="8" t="s">
        <v>65</v>
      </c>
      <c r="B8" s="17" t="n">
        <v>2427</v>
      </c>
      <c r="C8" s="17" t="n">
        <v>2082</v>
      </c>
      <c r="D8" s="17" t="n">
        <v>1692</v>
      </c>
      <c r="E8" s="12"/>
      <c r="F8" s="12"/>
      <c r="G8" s="12"/>
      <c r="H8" s="12"/>
      <c r="I8" s="12"/>
      <c r="J8" s="17" t="n">
        <f aca="false">D8*(1+'01-Assumption'!E10)</f>
        <v>1742.76</v>
      </c>
      <c r="K8" s="17" t="n">
        <f aca="false">J8*(1+'01-Assumption'!F10)</f>
        <v>1829.898</v>
      </c>
    </row>
    <row r="9" customFormat="false" ht="15.75" hidden="false" customHeight="true" outlineLevel="0" collapsed="false">
      <c r="A9" s="8" t="s">
        <v>66</v>
      </c>
      <c r="B9" s="17" t="n">
        <v>27</v>
      </c>
      <c r="C9" s="17" t="n">
        <v>-42</v>
      </c>
      <c r="D9" s="17" t="n">
        <v>-97</v>
      </c>
      <c r="E9" s="12"/>
      <c r="F9" s="12"/>
      <c r="G9" s="12"/>
      <c r="H9" s="12"/>
      <c r="I9" s="12"/>
      <c r="J9" s="17" t="n">
        <f aca="false">D9*(1+'01-Assumption'!E5)</f>
        <v>-101.85</v>
      </c>
      <c r="K9" s="17" t="n">
        <f aca="false">J9*(1+'01-Assumption'!F5)</f>
        <v>-108.9795</v>
      </c>
    </row>
    <row r="10" customFormat="false" ht="15.75" hidden="false" customHeight="true" outlineLevel="0" collapsed="false">
      <c r="A10" s="8" t="s">
        <v>67</v>
      </c>
      <c r="B10" s="17" t="n">
        <v>58</v>
      </c>
      <c r="C10" s="17" t="n">
        <v>45</v>
      </c>
      <c r="D10" s="17" t="n">
        <v>48</v>
      </c>
      <c r="E10" s="12"/>
      <c r="F10" s="12"/>
      <c r="G10" s="12"/>
      <c r="H10" s="12"/>
      <c r="I10" s="12"/>
      <c r="J10" s="17" t="n">
        <f aca="false">D10</f>
        <v>48</v>
      </c>
      <c r="K10" s="17" t="n">
        <f aca="false">D10</f>
        <v>48</v>
      </c>
    </row>
    <row r="11" s="27" customFormat="true" ht="15.75" hidden="false" customHeight="true" outlineLevel="0" collapsed="false">
      <c r="A11" s="24" t="s">
        <v>68</v>
      </c>
      <c r="B11" s="25" t="n">
        <f aca="false">SUM(B4:B10)</f>
        <v>51217</v>
      </c>
      <c r="C11" s="25" t="n">
        <f aca="false">SUM(C4:C10)</f>
        <v>51362</v>
      </c>
      <c r="D11" s="25" t="n">
        <f aca="false">SUM(D4:D10)</f>
        <v>46309</v>
      </c>
      <c r="E11" s="26" t="n">
        <f aca="false">IFERROR(B11/B11,"-")</f>
        <v>1</v>
      </c>
      <c r="F11" s="26" t="n">
        <f aca="false">IFERROR(C11/C11,"-")</f>
        <v>1</v>
      </c>
      <c r="G11" s="26" t="n">
        <f aca="false">IFERROR(D11/D11,"-")</f>
        <v>1</v>
      </c>
      <c r="H11" s="26" t="n">
        <f aca="false">IFERROR((C11-B11)/B11,"-")</f>
        <v>0.00283109123923697</v>
      </c>
      <c r="I11" s="26" t="n">
        <f aca="false">IFERROR((D11-C11)/C11,"-")</f>
        <v>-0.0983801253845255</v>
      </c>
      <c r="J11" s="25" t="n">
        <f aca="false">D11*(1+'01-Assumption'!E5)</f>
        <v>48624.45</v>
      </c>
      <c r="K11" s="25" t="n">
        <f aca="false">J11*(1+'01-Assumption'!F5)</f>
        <v>52028.1615</v>
      </c>
    </row>
    <row r="12" customFormat="false" ht="15.75" hidden="false" customHeight="true" outlineLevel="0" collapsed="false">
      <c r="A12" s="8" t="s">
        <v>69</v>
      </c>
      <c r="B12" s="17" t="n">
        <v>28925</v>
      </c>
      <c r="C12" s="17" t="n">
        <v>28475</v>
      </c>
      <c r="D12" s="17" t="n">
        <v>26519</v>
      </c>
      <c r="E12" s="12"/>
      <c r="F12" s="12"/>
      <c r="G12" s="12"/>
      <c r="H12" s="12"/>
      <c r="I12" s="12"/>
      <c r="J12" s="17" t="n">
        <f aca="false">J11*(1-'01-Assumption'!E14)</f>
        <v>26986.56975</v>
      </c>
      <c r="K12" s="17" t="n">
        <f aca="false">K11*(1-'01-Assumption'!F14)</f>
        <v>28615.488825</v>
      </c>
    </row>
    <row r="13" s="27" customFormat="true" ht="15.75" hidden="false" customHeight="true" outlineLevel="0" collapsed="false">
      <c r="A13" s="28" t="s">
        <v>70</v>
      </c>
      <c r="B13" s="29" t="n">
        <f aca="false">B11-B12</f>
        <v>22292</v>
      </c>
      <c r="C13" s="29" t="n">
        <f aca="false">C11-C12</f>
        <v>22887</v>
      </c>
      <c r="D13" s="29" t="n">
        <f aca="false">D11-D12</f>
        <v>19790</v>
      </c>
      <c r="E13" s="30" t="n">
        <f aca="false">IFERROR(B13/B11,"-")</f>
        <v>0.435246109690142</v>
      </c>
      <c r="F13" s="30" t="n">
        <f aca="false">IFERROR(C13/C11,"-")</f>
        <v>0.445601806783225</v>
      </c>
      <c r="G13" s="30" t="n">
        <f aca="false">IFERROR(D13/D11,"-")</f>
        <v>0.427346736055626</v>
      </c>
      <c r="H13" s="30" t="n">
        <f aca="false">IFERROR((C13-B13)/B13,"-")</f>
        <v>0.0266911896644536</v>
      </c>
      <c r="I13" s="30" t="n">
        <f aca="false">IFERROR((D13-C13)/C13,"-")</f>
        <v>-0.135316992178966</v>
      </c>
      <c r="J13" s="31" t="n">
        <f aca="false">J11-J12</f>
        <v>21637.88025</v>
      </c>
      <c r="K13" s="31" t="n">
        <f aca="false">K11-K12</f>
        <v>23412.672675</v>
      </c>
    </row>
    <row r="14" customFormat="false" ht="15.75" hidden="false" customHeight="true" outlineLevel="0" collapsed="false">
      <c r="A14" s="8" t="s">
        <v>71</v>
      </c>
      <c r="B14" s="17" t="n">
        <v>4060</v>
      </c>
      <c r="C14" s="17" t="n">
        <v>4285</v>
      </c>
      <c r="D14" s="17" t="n">
        <v>4689</v>
      </c>
      <c r="E14" s="12"/>
      <c r="F14" s="12"/>
      <c r="G14" s="12"/>
      <c r="H14" s="12"/>
      <c r="I14" s="12"/>
      <c r="J14" s="17" t="n">
        <f aca="false">J11*'01-Assumption'!E16</f>
        <v>4035.82935</v>
      </c>
      <c r="K14" s="17" t="n">
        <f aca="false">K11*'01-Assumption'!F16</f>
        <v>4266.309243</v>
      </c>
    </row>
    <row r="15" customFormat="false" ht="15.75" hidden="false" customHeight="true" outlineLevel="0" collapsed="false">
      <c r="A15" s="8" t="s">
        <v>72</v>
      </c>
      <c r="B15" s="17" t="n">
        <v>12317</v>
      </c>
      <c r="C15" s="17" t="n">
        <v>12291</v>
      </c>
      <c r="D15" s="17" t="n">
        <v>11399</v>
      </c>
      <c r="E15" s="12"/>
      <c r="F15" s="12"/>
      <c r="G15" s="12"/>
      <c r="H15" s="12"/>
      <c r="I15" s="12"/>
      <c r="J15" s="17" t="n">
        <f aca="false">J11*'01-Assumption'!E17</f>
        <v>11037.75015</v>
      </c>
      <c r="K15" s="17" t="n">
        <f aca="false">K11*'01-Assumption'!F17</f>
        <v>11602.2800145</v>
      </c>
    </row>
    <row r="16" s="27" customFormat="true" ht="15.75" hidden="false" customHeight="true" outlineLevel="0" collapsed="false">
      <c r="A16" s="24" t="s">
        <v>73</v>
      </c>
      <c r="B16" s="25" t="n">
        <f aca="false">B14+B15</f>
        <v>16377</v>
      </c>
      <c r="C16" s="25" t="n">
        <f aca="false">C14+C15</f>
        <v>16576</v>
      </c>
      <c r="D16" s="25" t="n">
        <f aca="false">D14+D15</f>
        <v>16088</v>
      </c>
      <c r="E16" s="26"/>
      <c r="F16" s="26"/>
      <c r="G16" s="26"/>
      <c r="H16" s="26"/>
      <c r="I16" s="26"/>
      <c r="J16" s="32" t="n">
        <f aca="false">J14+J15</f>
        <v>15073.5795</v>
      </c>
      <c r="K16" s="25" t="n">
        <f aca="false">K14+K15</f>
        <v>15868.5892575</v>
      </c>
    </row>
    <row r="17" s="27" customFormat="true" ht="15.75" hidden="false" customHeight="true" outlineLevel="0" collapsed="false">
      <c r="A17" s="28" t="s">
        <v>74</v>
      </c>
      <c r="B17" s="29" t="n">
        <f aca="false">B13-B16</f>
        <v>5915</v>
      </c>
      <c r="C17" s="29" t="n">
        <f aca="false">C13-C16</f>
        <v>6311</v>
      </c>
      <c r="D17" s="29" t="n">
        <f aca="false">D13-D16</f>
        <v>3702</v>
      </c>
      <c r="E17" s="30" t="n">
        <f aca="false">IFERROR(B17/B11,"-")</f>
        <v>0.115488997793701</v>
      </c>
      <c r="F17" s="30" t="n">
        <f aca="false">IFERROR(C17/C11,"-")</f>
        <v>0.122872941084849</v>
      </c>
      <c r="G17" s="30" t="n">
        <f aca="false">IFERROR(D17/D11,"-")</f>
        <v>0.0799412641171263</v>
      </c>
      <c r="H17" s="30" t="n">
        <f aca="false">IFERROR((C17-B17)/B17,"-")</f>
        <v>0.0669484361792054</v>
      </c>
      <c r="I17" s="30" t="n">
        <f aca="false">IFERROR((D17-C17)/C17,"-")</f>
        <v>-0.413405165583901</v>
      </c>
      <c r="J17" s="31" t="n">
        <f aca="false">J13-J16</f>
        <v>6564.30075</v>
      </c>
      <c r="K17" s="31" t="n">
        <f aca="false">K13-K16</f>
        <v>7544.0834175</v>
      </c>
    </row>
    <row r="18" customFormat="false" ht="15.75" hidden="false" customHeight="true" outlineLevel="0" collapsed="false">
      <c r="A18" s="8" t="s">
        <v>75</v>
      </c>
      <c r="B18" s="17" t="n">
        <v>703</v>
      </c>
      <c r="C18" s="17" t="n">
        <v>796</v>
      </c>
      <c r="D18" s="17" t="n">
        <v>775</v>
      </c>
      <c r="E18" s="12"/>
      <c r="F18" s="12"/>
      <c r="G18" s="12"/>
      <c r="H18" s="12"/>
      <c r="I18" s="12"/>
      <c r="J18" s="17" t="n">
        <f aca="false">J11*'01-Assumption'!E21</f>
        <v>1555.9824</v>
      </c>
      <c r="K18" s="17" t="n">
        <f aca="false">K11*'01-Assumption'!F21</f>
        <v>1664.901168</v>
      </c>
    </row>
    <row r="19" s="27" customFormat="true" ht="15.75" hidden="false" customHeight="true" outlineLevel="0" collapsed="false">
      <c r="A19" s="28" t="s">
        <v>76</v>
      </c>
      <c r="B19" s="29" t="n">
        <f aca="false">B17+B18</f>
        <v>6618</v>
      </c>
      <c r="C19" s="29" t="n">
        <f aca="false">C17+C18</f>
        <v>7107</v>
      </c>
      <c r="D19" s="29" t="n">
        <f aca="false">D17+D18</f>
        <v>4477</v>
      </c>
      <c r="E19" s="30" t="n">
        <f aca="false">IFERROR(B19/B11,"-")</f>
        <v>0.129214909112209</v>
      </c>
      <c r="F19" s="30" t="n">
        <f aca="false">IFERROR(C19/C11,"-")</f>
        <v>0.138370779954052</v>
      </c>
      <c r="G19" s="30" t="n">
        <f aca="false">IFERROR(D19/D11,"-")</f>
        <v>0.0966766719212248</v>
      </c>
      <c r="H19" s="30" t="n">
        <f aca="false">IFERROR((C19-B19)/B19,"-")</f>
        <v>0.0738893925657298</v>
      </c>
      <c r="I19" s="30" t="n">
        <f aca="false">IFERROR((D19-C19)/C19,"-")</f>
        <v>-0.370057689601801</v>
      </c>
      <c r="J19" s="31" t="n">
        <f aca="false">J17+J18</f>
        <v>8120.28315</v>
      </c>
      <c r="K19" s="31" t="n">
        <f aca="false">K17+K18</f>
        <v>9208.9845855</v>
      </c>
    </row>
    <row r="20" customFormat="false" ht="15.75" hidden="false" customHeight="true" outlineLevel="0" collapsed="false">
      <c r="A20" s="8" t="s">
        <v>77</v>
      </c>
      <c r="B20" s="17" t="n">
        <v>-6</v>
      </c>
      <c r="C20" s="17" t="n">
        <v>-161</v>
      </c>
      <c r="D20" s="17" t="n">
        <v>-107</v>
      </c>
      <c r="E20" s="12"/>
      <c r="F20" s="12"/>
      <c r="G20" s="12"/>
      <c r="H20" s="12"/>
      <c r="I20" s="12"/>
      <c r="J20" s="17" t="n">
        <f aca="false">D20</f>
        <v>-107</v>
      </c>
      <c r="K20" s="17" t="n">
        <f aca="false">D20</f>
        <v>-107</v>
      </c>
    </row>
    <row r="21" customFormat="false" ht="15.75" hidden="false" customHeight="true" outlineLevel="0" collapsed="false">
      <c r="A21" s="8" t="s">
        <v>78</v>
      </c>
      <c r="B21" s="17" t="n">
        <v>280</v>
      </c>
      <c r="C21" s="17" t="n">
        <v>228</v>
      </c>
      <c r="D21" s="17" t="n">
        <v>76</v>
      </c>
      <c r="E21" s="12"/>
      <c r="F21" s="12"/>
      <c r="G21" s="12"/>
      <c r="H21" s="12"/>
      <c r="I21" s="12"/>
      <c r="J21" s="17" t="n">
        <f aca="false">D21</f>
        <v>76</v>
      </c>
      <c r="K21" s="17" t="n">
        <f aca="false">D21</f>
        <v>76</v>
      </c>
    </row>
    <row r="22" s="27" customFormat="true" ht="15.75" hidden="false" customHeight="true" outlineLevel="0" collapsed="false">
      <c r="A22" s="24" t="s">
        <v>79</v>
      </c>
      <c r="B22" s="25" t="n">
        <f aca="false">B17-B20+B21</f>
        <v>6201</v>
      </c>
      <c r="C22" s="25" t="n">
        <f aca="false">C17-C20+C21</f>
        <v>6700</v>
      </c>
      <c r="D22" s="25" t="n">
        <f aca="false">D17-D20+D21</f>
        <v>3885</v>
      </c>
      <c r="E22" s="26"/>
      <c r="F22" s="26"/>
      <c r="G22" s="26"/>
      <c r="H22" s="26"/>
      <c r="I22" s="26"/>
      <c r="J22" s="32" t="n">
        <f aca="false">J17+J20+J21</f>
        <v>6533.30075</v>
      </c>
      <c r="K22" s="32" t="n">
        <f aca="false">K17+K20+K21</f>
        <v>7513.0834175</v>
      </c>
    </row>
    <row r="23" customFormat="false" ht="15.75" hidden="false" customHeight="true" outlineLevel="0" collapsed="false">
      <c r="A23" s="8" t="s">
        <v>80</v>
      </c>
      <c r="B23" s="17" t="n">
        <v>1131</v>
      </c>
      <c r="C23" s="17" t="n">
        <v>1000</v>
      </c>
      <c r="D23" s="17" t="n">
        <v>666</v>
      </c>
      <c r="E23" s="12"/>
      <c r="F23" s="12"/>
      <c r="G23" s="12"/>
      <c r="H23" s="12"/>
      <c r="I23" s="12"/>
      <c r="J23" s="17" t="n">
        <f aca="false">J22*'01-Assumption'!E18</f>
        <v>1208.66063875</v>
      </c>
      <c r="K23" s="17" t="n">
        <f aca="false">K22*'01-Assumption'!F18</f>
        <v>1389.9204322375</v>
      </c>
    </row>
    <row r="24" s="27" customFormat="true" ht="16.5" hidden="false" customHeight="true" outlineLevel="0" collapsed="false">
      <c r="A24" s="33" t="s">
        <v>81</v>
      </c>
      <c r="B24" s="34" t="n">
        <f aca="false">B22-B23</f>
        <v>5070</v>
      </c>
      <c r="C24" s="34" t="n">
        <f aca="false">C22-C23</f>
        <v>5700</v>
      </c>
      <c r="D24" s="34" t="n">
        <f aca="false">D22-D23</f>
        <v>3219</v>
      </c>
      <c r="E24" s="35" t="n">
        <f aca="false">IFERROR(B24/B11,"-")</f>
        <v>0.0989905695374583</v>
      </c>
      <c r="F24" s="35" t="n">
        <f aca="false">IFERROR(C24/C11,"-")</f>
        <v>0.110976986877458</v>
      </c>
      <c r="G24" s="35" t="n">
        <f aca="false">IFERROR(D24/D11,"-")</f>
        <v>0.0695113260921203</v>
      </c>
      <c r="H24" s="35" t="n">
        <f aca="false">IFERROR((C24-B24)/B24,"-")</f>
        <v>0.124260355029586</v>
      </c>
      <c r="I24" s="35" t="n">
        <f aca="false">IFERROR((D24-C24)/C24,"-")</f>
        <v>-0.435263157894737</v>
      </c>
      <c r="J24" s="36" t="n">
        <f aca="false">J22-J23</f>
        <v>5324.64011125</v>
      </c>
      <c r="K24" s="36" t="n">
        <f aca="false">K22-K23</f>
        <v>6123.1629852625</v>
      </c>
    </row>
    <row r="25" customFormat="false" ht="16.5" hidden="false" customHeight="true" outlineLevel="0" collapsed="false"/>
    <row r="28" customFormat="false" ht="15.75" hidden="false" customHeight="true" outlineLevel="0" collapsed="false">
      <c r="A28" s="21" t="s">
        <v>82</v>
      </c>
    </row>
    <row r="29" customFormat="false" ht="15.75" hidden="false" customHeight="true" outlineLevel="0" collapsed="false">
      <c r="A29" s="22" t="s">
        <v>83</v>
      </c>
    </row>
    <row r="30" customFormat="false" ht="15.75" hidden="false" customHeight="true" outlineLevel="0" collapsed="false">
      <c r="A30" s="22" t="s">
        <v>84</v>
      </c>
    </row>
    <row r="31" customFormat="false" ht="15.75" hidden="false" customHeight="true" outlineLevel="0" collapsed="false">
      <c r="A31" s="22" t="s">
        <v>85</v>
      </c>
    </row>
    <row r="32" customFormat="false" ht="15.75" hidden="false" customHeight="true" outlineLevel="0" collapsed="false">
      <c r="A32" s="22" t="s">
        <v>86</v>
      </c>
    </row>
    <row r="33" customFormat="false" ht="15.75" hidden="false" customHeight="true" outlineLevel="0" collapsed="false">
      <c r="A33" s="22" t="s">
        <v>87</v>
      </c>
    </row>
    <row r="34" customFormat="false" ht="15.75" hidden="false" customHeight="true" outlineLevel="0" collapsed="false">
      <c r="A34" s="22" t="s">
        <v>88</v>
      </c>
    </row>
    <row r="35" customFormat="false" ht="15.75" hidden="false" customHeight="true" outlineLevel="0" collapsed="false">
      <c r="A35" s="22" t="s">
        <v>89</v>
      </c>
    </row>
    <row r="36" customFormat="false" ht="15.75" hidden="false" customHeight="true" outlineLevel="0" collapsed="false">
      <c r="A36" s="22" t="s">
        <v>90</v>
      </c>
    </row>
    <row r="37" customFormat="false" ht="15.75" hidden="false" customHeight="true" outlineLevel="0" collapsed="false">
      <c r="A37" s="22" t="s">
        <v>91</v>
      </c>
    </row>
    <row r="38" customFormat="false" ht="15.75" hidden="false" customHeight="true" outlineLevel="0" collapsed="false">
      <c r="A38" s="37" t="s">
        <v>92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2.83"/>
    <col collapsed="false" customWidth="true" hidden="false" outlineLevel="0" max="4" min="2" style="1" width="14.83"/>
    <col collapsed="false" customWidth="true" hidden="false" outlineLevel="0" max="9" min="8" style="1" width="12.83"/>
  </cols>
  <sheetData>
    <row r="1" customFormat="false" ht="18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</row>
    <row r="3" customFormat="false" ht="15.75" hidden="false" customHeight="true" outlineLevel="0" collapsed="false">
      <c r="A3" s="38" t="s">
        <v>55</v>
      </c>
      <c r="B3" s="38" t="s">
        <v>2</v>
      </c>
      <c r="C3" s="38" t="s">
        <v>3</v>
      </c>
      <c r="D3" s="38" t="s">
        <v>4</v>
      </c>
      <c r="E3" s="4" t="s">
        <v>5</v>
      </c>
      <c r="F3" s="4" t="s">
        <v>6</v>
      </c>
      <c r="H3" s="38" t="s">
        <v>59</v>
      </c>
      <c r="I3" s="38" t="s">
        <v>60</v>
      </c>
    </row>
    <row r="4" customFormat="false" ht="15.75" hidden="false" customHeight="true" outlineLevel="0" collapsed="false">
      <c r="A4" s="24" t="s">
        <v>94</v>
      </c>
    </row>
    <row r="5" customFormat="false" ht="15.75" hidden="false" customHeight="true" outlineLevel="0" collapsed="false">
      <c r="A5" s="8" t="s">
        <v>95</v>
      </c>
      <c r="B5" s="17" t="n">
        <f aca="false">'02-IS'!B24</f>
        <v>5070</v>
      </c>
      <c r="C5" s="17" t="n">
        <f aca="false">'02-IS'!C24</f>
        <v>5700</v>
      </c>
      <c r="D5" s="17" t="n">
        <f aca="false">'02-IS'!D24</f>
        <v>3219</v>
      </c>
      <c r="E5" s="17" t="n">
        <f aca="false">'02-IS'!J24</f>
        <v>5324.64011125</v>
      </c>
      <c r="F5" s="17" t="n">
        <f aca="false">'02-IS'!K24</f>
        <v>6123.1629852625</v>
      </c>
    </row>
    <row r="6" customFormat="false" ht="15.75" hidden="false" customHeight="true" outlineLevel="0" collapsed="false">
      <c r="A6" s="8" t="s">
        <v>96</v>
      </c>
      <c r="B6" s="1" t="n">
        <v>703</v>
      </c>
      <c r="C6" s="1" t="n">
        <v>796</v>
      </c>
      <c r="D6" s="1" t="n">
        <v>775</v>
      </c>
      <c r="E6" s="17" t="n">
        <f aca="false">'02-IS'!J11*'01-Assumption'!E21</f>
        <v>1555.9824</v>
      </c>
      <c r="F6" s="17" t="n">
        <f aca="false">'02-IS'!K11*'01-Assumption'!F21</f>
        <v>1664.901168</v>
      </c>
    </row>
    <row r="7" customFormat="false" ht="15.75" hidden="false" customHeight="true" outlineLevel="0" collapsed="false">
      <c r="A7" s="8" t="s">
        <v>97</v>
      </c>
      <c r="B7" s="1" t="n">
        <v>755</v>
      </c>
      <c r="C7" s="1" t="n">
        <v>804</v>
      </c>
      <c r="D7" s="1" t="n">
        <v>709</v>
      </c>
      <c r="E7" s="1" t="n">
        <f aca="false">D7</f>
        <v>709</v>
      </c>
      <c r="F7" s="1" t="n">
        <f aca="false">E7</f>
        <v>709</v>
      </c>
    </row>
    <row r="8" customFormat="false" ht="15.75" hidden="false" customHeight="true" outlineLevel="0" collapsed="false">
      <c r="A8" s="8" t="s">
        <v>98</v>
      </c>
      <c r="B8" s="1" t="n">
        <v>-117</v>
      </c>
      <c r="C8" s="1" t="n">
        <v>-497</v>
      </c>
      <c r="D8" s="1" t="n">
        <v>-288</v>
      </c>
      <c r="E8" s="1" t="n">
        <f aca="false">D8</f>
        <v>-288</v>
      </c>
      <c r="F8" s="1" t="n">
        <f aca="false">E8</f>
        <v>-288</v>
      </c>
    </row>
    <row r="9" customFormat="false" ht="15.75" hidden="false" customHeight="true" outlineLevel="0" collapsed="false">
      <c r="A9" s="8" t="s">
        <v>99</v>
      </c>
      <c r="B9" s="1" t="n">
        <v>489</v>
      </c>
      <c r="C9" s="1" t="n">
        <v>-329</v>
      </c>
      <c r="D9" s="1" t="n">
        <v>-257</v>
      </c>
      <c r="E9" s="1" t="n">
        <f aca="false">D9</f>
        <v>-257</v>
      </c>
      <c r="F9" s="1" t="n">
        <f aca="false">E9</f>
        <v>-257</v>
      </c>
    </row>
    <row r="10" customFormat="false" ht="15.75" hidden="false" customHeight="true" outlineLevel="0" collapsed="false">
      <c r="A10" s="8" t="s">
        <v>100</v>
      </c>
      <c r="B10" s="1" t="n">
        <v>-133</v>
      </c>
      <c r="C10" s="1" t="n">
        <v>908</v>
      </c>
      <c r="D10" s="1" t="n">
        <v>120</v>
      </c>
      <c r="E10" s="1" t="n">
        <f aca="false">D10</f>
        <v>120</v>
      </c>
      <c r="F10" s="1" t="n">
        <f aca="false">E10</f>
        <v>120</v>
      </c>
    </row>
    <row r="11" customFormat="false" ht="15.75" hidden="false" customHeight="true" outlineLevel="0" collapsed="false">
      <c r="A11" s="8" t="s">
        <v>101</v>
      </c>
      <c r="B11" s="1" t="n">
        <v>-225</v>
      </c>
      <c r="C11" s="1" t="n">
        <v>397</v>
      </c>
      <c r="D11" s="1" t="n">
        <v>-426</v>
      </c>
      <c r="E11" s="1" t="n">
        <f aca="false">D11</f>
        <v>-426</v>
      </c>
      <c r="F11" s="1" t="n">
        <f aca="false">E11</f>
        <v>-426</v>
      </c>
    </row>
    <row r="12" customFormat="false" ht="15.75" hidden="false" customHeight="true" outlineLevel="0" collapsed="false">
      <c r="A12" s="8" t="s">
        <v>102</v>
      </c>
      <c r="B12" s="1" t="n">
        <v>-644</v>
      </c>
      <c r="C12" s="1" t="n">
        <v>-260</v>
      </c>
      <c r="D12" s="1" t="n">
        <v>-224</v>
      </c>
      <c r="E12" s="1" t="n">
        <f aca="false">D12</f>
        <v>-224</v>
      </c>
      <c r="F12" s="1" t="n">
        <f aca="false">E12</f>
        <v>-224</v>
      </c>
    </row>
    <row r="13" customFormat="false" ht="15.75" hidden="false" customHeight="true" outlineLevel="0" collapsed="false">
      <c r="A13" s="8" t="s">
        <v>103</v>
      </c>
      <c r="B13" s="1" t="n">
        <v>-57</v>
      </c>
      <c r="C13" s="1" t="n">
        <v>-90</v>
      </c>
      <c r="D13" s="1" t="n">
        <v>70</v>
      </c>
      <c r="E13" s="1" t="n">
        <f aca="false">D13</f>
        <v>70</v>
      </c>
      <c r="F13" s="1" t="n">
        <f aca="false">E13</f>
        <v>70</v>
      </c>
    </row>
    <row r="14" s="39" customFormat="true" ht="15.75" hidden="false" customHeight="true" outlineLevel="0" collapsed="false">
      <c r="A14" s="28" t="s">
        <v>104</v>
      </c>
      <c r="B14" s="31" t="n">
        <f aca="false">SUM(B5:B13)</f>
        <v>5841</v>
      </c>
      <c r="C14" s="31" t="n">
        <f aca="false">SUM(C5:C13)</f>
        <v>7429</v>
      </c>
      <c r="D14" s="31" t="n">
        <f aca="false">SUM(D5:D13)</f>
        <v>3698</v>
      </c>
      <c r="E14" s="31" t="n">
        <f aca="false">SUM(E5:E13)</f>
        <v>6584.62251125</v>
      </c>
      <c r="F14" s="31" t="n">
        <f aca="false">SUM(F5:F13)</f>
        <v>7492.0641532625</v>
      </c>
      <c r="H14" s="40" t="n">
        <f aca="false">IFERROR((C14-B14)/ABS(B14),"-")</f>
        <v>0.271871254922102</v>
      </c>
      <c r="I14" s="40" t="n">
        <f aca="false">IFERROR((D14-C14)/ABS(C14),"-")</f>
        <v>-0.502221025710055</v>
      </c>
    </row>
    <row r="15" customFormat="false" ht="15.75" hidden="false" customHeight="true" outlineLevel="0" collapsed="false">
      <c r="A15" s="8"/>
    </row>
    <row r="16" customFormat="false" ht="15.75" hidden="false" customHeight="true" outlineLevel="0" collapsed="false">
      <c r="A16" s="24" t="s">
        <v>105</v>
      </c>
    </row>
    <row r="17" customFormat="false" ht="15.75" hidden="false" customHeight="true" outlineLevel="0" collapsed="false">
      <c r="A17" s="8" t="s">
        <v>106</v>
      </c>
      <c r="B17" s="1" t="n">
        <v>-969</v>
      </c>
      <c r="C17" s="1" t="n">
        <v>-812</v>
      </c>
      <c r="D17" s="1" t="n">
        <v>-430</v>
      </c>
      <c r="E17" s="17" t="n">
        <f aca="false">-'02-IS'!J11*'01-Assumption'!E22</f>
        <v>-1701.85575</v>
      </c>
      <c r="F17" s="17" t="n">
        <f aca="false">-'02-IS'!K11*'01-Assumption'!F22</f>
        <v>-1768.957491</v>
      </c>
    </row>
    <row r="18" customFormat="false" ht="15.75" hidden="false" customHeight="true" outlineLevel="0" collapsed="false">
      <c r="A18" s="8" t="s">
        <v>107</v>
      </c>
      <c r="B18" s="1" t="n">
        <v>1481</v>
      </c>
      <c r="C18" s="1" t="n">
        <v>1721</v>
      </c>
      <c r="D18" s="1" t="n">
        <v>147</v>
      </c>
      <c r="E18" s="17" t="n">
        <f aca="false">D18</f>
        <v>147</v>
      </c>
      <c r="F18" s="17" t="n">
        <f aca="false">E18</f>
        <v>147</v>
      </c>
    </row>
    <row r="19" customFormat="false" ht="15.75" hidden="false" customHeight="true" outlineLevel="0" collapsed="false">
      <c r="A19" s="8" t="s">
        <v>108</v>
      </c>
      <c r="B19" s="1" t="n">
        <v>52</v>
      </c>
      <c r="C19" s="1" t="n">
        <v>-15</v>
      </c>
      <c r="D19" s="1" t="n">
        <v>8</v>
      </c>
      <c r="E19" s="17" t="n">
        <f aca="false">D19</f>
        <v>8</v>
      </c>
      <c r="F19" s="17" t="n">
        <f aca="false">E19</f>
        <v>8</v>
      </c>
    </row>
    <row r="20" s="39" customFormat="true" ht="15.75" hidden="false" customHeight="true" outlineLevel="0" collapsed="false">
      <c r="A20" s="28" t="s">
        <v>109</v>
      </c>
      <c r="B20" s="40" t="n">
        <f aca="false">SUM(B17:B19)</f>
        <v>564</v>
      </c>
      <c r="C20" s="40" t="n">
        <f aca="false">SUM(C17:C19)</f>
        <v>894</v>
      </c>
      <c r="D20" s="40" t="n">
        <f aca="false">SUM(D17:D19)</f>
        <v>-275</v>
      </c>
      <c r="E20" s="31" t="n">
        <f aca="false">SUM(E17:E19)</f>
        <v>-1546.85575</v>
      </c>
      <c r="F20" s="31" t="n">
        <f aca="false">SUM(F17:F19)</f>
        <v>-1613.957491</v>
      </c>
      <c r="H20" s="40" t="n">
        <f aca="false">IFERROR((C20-B20)/ABS(B20),"-")</f>
        <v>0.585106382978723</v>
      </c>
      <c r="I20" s="40" t="n">
        <f aca="false">IFERROR((D20-C20)/ABS(C20),"-")</f>
        <v>-1.3076062639821</v>
      </c>
    </row>
    <row r="21" customFormat="false" ht="15.75" hidden="false" customHeight="true" outlineLevel="0" collapsed="false">
      <c r="A21" s="8"/>
      <c r="E21" s="17"/>
      <c r="F21" s="17"/>
    </row>
    <row r="22" customFormat="false" ht="15.75" hidden="false" customHeight="true" outlineLevel="0" collapsed="false">
      <c r="A22" s="24" t="s">
        <v>110</v>
      </c>
      <c r="E22" s="17"/>
      <c r="F22" s="17"/>
    </row>
    <row r="23" customFormat="false" ht="15.75" hidden="false" customHeight="true" outlineLevel="0" collapsed="false">
      <c r="A23" s="8" t="s">
        <v>111</v>
      </c>
      <c r="B23" s="1" t="n">
        <v>-2012</v>
      </c>
      <c r="C23" s="1" t="n">
        <v>-2169</v>
      </c>
      <c r="D23" s="1" t="n">
        <v>-2300</v>
      </c>
      <c r="E23" s="17" t="n">
        <f aca="false">-'01-Assumption'!E28</f>
        <v>-2400</v>
      </c>
      <c r="F23" s="17" t="n">
        <f aca="false">-'01-Assumption'!F28</f>
        <v>-2500</v>
      </c>
    </row>
    <row r="24" customFormat="false" ht="15.75" hidden="false" customHeight="true" outlineLevel="0" collapsed="false">
      <c r="A24" s="8" t="s">
        <v>112</v>
      </c>
      <c r="B24" s="1" t="n">
        <v>-5480</v>
      </c>
      <c r="C24" s="1" t="n">
        <v>-4250</v>
      </c>
      <c r="D24" s="1" t="n">
        <v>-2985</v>
      </c>
      <c r="E24" s="17" t="n">
        <f aca="false">-'01-Assumption'!E29</f>
        <v>-2000</v>
      </c>
      <c r="F24" s="17" t="n">
        <f aca="false">-'01-Assumption'!F29</f>
        <v>-2000</v>
      </c>
    </row>
    <row r="25" customFormat="false" ht="15.75" hidden="false" customHeight="true" outlineLevel="0" collapsed="false">
      <c r="A25" s="8" t="s">
        <v>113</v>
      </c>
      <c r="B25" s="1" t="n">
        <v>-504</v>
      </c>
      <c r="C25" s="1" t="n">
        <v>0</v>
      </c>
      <c r="D25" s="1" t="n">
        <v>-1000</v>
      </c>
      <c r="E25" s="17" t="n">
        <f aca="false">-'01-Assumption'!E30</f>
        <v>-0</v>
      </c>
      <c r="F25" s="17" t="n">
        <f aca="false">-'01-Assumption'!F30</f>
        <v>-500</v>
      </c>
    </row>
    <row r="26" customFormat="false" ht="15.75" hidden="false" customHeight="true" outlineLevel="0" collapsed="false">
      <c r="A26" s="8" t="s">
        <v>114</v>
      </c>
      <c r="B26" s="1" t="n">
        <v>549</v>
      </c>
      <c r="C26" s="1" t="n">
        <v>531</v>
      </c>
      <c r="D26" s="1" t="n">
        <v>466</v>
      </c>
      <c r="E26" s="17" t="n">
        <f aca="false">D26</f>
        <v>466</v>
      </c>
      <c r="F26" s="17" t="n">
        <f aca="false">E26</f>
        <v>466</v>
      </c>
    </row>
    <row r="27" s="39" customFormat="true" ht="15.75" hidden="false" customHeight="true" outlineLevel="0" collapsed="false">
      <c r="A27" s="28" t="s">
        <v>115</v>
      </c>
      <c r="B27" s="40" t="n">
        <f aca="false">SUM(B23:B26)</f>
        <v>-7447</v>
      </c>
      <c r="C27" s="40" t="n">
        <f aca="false">SUM(C23:C26)</f>
        <v>-5888</v>
      </c>
      <c r="D27" s="40" t="n">
        <f aca="false">SUM(D23:D26)</f>
        <v>-5819</v>
      </c>
      <c r="E27" s="40" t="n">
        <f aca="false">SUM(E23:E26)</f>
        <v>-3934</v>
      </c>
      <c r="F27" s="40" t="n">
        <f aca="false">SUM(F23:F26)</f>
        <v>-4534</v>
      </c>
      <c r="H27" s="40" t="n">
        <f aca="false">IFERROR((C27-B27)/ABS(B27),"-")</f>
        <v>0.209346045387404</v>
      </c>
      <c r="I27" s="40" t="n">
        <f aca="false">IFERROR((D27-C27)/ABS(C27),"-")</f>
        <v>0.01171875</v>
      </c>
    </row>
    <row r="28" customFormat="false" ht="15.75" hidden="false" customHeight="true" outlineLevel="0" collapsed="false">
      <c r="A28" s="8"/>
      <c r="E28" s="17"/>
      <c r="F28" s="17"/>
    </row>
    <row r="29" s="39" customFormat="true" ht="15.75" hidden="false" customHeight="true" outlineLevel="0" collapsed="false">
      <c r="A29" s="28" t="s">
        <v>116</v>
      </c>
      <c r="B29" s="31" t="n">
        <f aca="false">B14+B20+B27</f>
        <v>-1042</v>
      </c>
      <c r="C29" s="31" t="n">
        <f aca="false">C14+C20+C27</f>
        <v>2435</v>
      </c>
      <c r="D29" s="31" t="n">
        <f aca="false">D14+D20+D27</f>
        <v>-2396</v>
      </c>
      <c r="E29" s="31" t="n">
        <f aca="false">E14+E20+E27</f>
        <v>1103.76676125</v>
      </c>
      <c r="F29" s="31" t="n">
        <f aca="false">F14+F20+F27</f>
        <v>1344.1066622625</v>
      </c>
    </row>
    <row r="30" s="39" customFormat="true" ht="15.75" hidden="false" customHeight="true" outlineLevel="0" collapsed="false">
      <c r="A30" s="8" t="s">
        <v>117</v>
      </c>
      <c r="B30" s="41" t="n">
        <v>-91</v>
      </c>
      <c r="C30" s="41" t="n">
        <v>-16</v>
      </c>
      <c r="D30" s="41" t="n">
        <v>1</v>
      </c>
      <c r="E30" s="41" t="n">
        <f aca="false">D30</f>
        <v>1</v>
      </c>
      <c r="F30" s="32" t="n">
        <f aca="false">E30</f>
        <v>1</v>
      </c>
    </row>
    <row r="31" customFormat="false" ht="15.75" hidden="false" customHeight="true" outlineLevel="0" collapsed="false">
      <c r="A31" s="8" t="s">
        <v>118</v>
      </c>
      <c r="B31" s="1" t="n">
        <v>8574</v>
      </c>
      <c r="C31" s="1" t="n">
        <v>7441</v>
      </c>
      <c r="D31" s="1" t="n">
        <v>9860</v>
      </c>
      <c r="E31" s="17" t="n">
        <f aca="false">D32</f>
        <v>7465</v>
      </c>
      <c r="F31" s="17" t="n">
        <f aca="false">E32</f>
        <v>8569.76676125</v>
      </c>
    </row>
    <row r="32" s="39" customFormat="true" ht="16.5" hidden="false" customHeight="true" outlineLevel="0" collapsed="false">
      <c r="A32" s="33" t="s">
        <v>119</v>
      </c>
      <c r="B32" s="36" t="n">
        <f aca="false">B29+B31+B30</f>
        <v>7441</v>
      </c>
      <c r="C32" s="36" t="n">
        <f aca="false">C29+C31+C30</f>
        <v>9860</v>
      </c>
      <c r="D32" s="36" t="n">
        <f aca="false">D29+D31+D30</f>
        <v>7465</v>
      </c>
      <c r="E32" s="36" t="n">
        <f aca="false">E29+E31+E30</f>
        <v>8569.76676125</v>
      </c>
      <c r="F32" s="36" t="n">
        <f aca="false">F29+F31+F30</f>
        <v>9914.8734235125</v>
      </c>
    </row>
    <row r="33" customFormat="false" ht="16.5" hidden="false" customHeight="true" outlineLevel="0" collapsed="false">
      <c r="A33" s="8"/>
      <c r="E33" s="17"/>
      <c r="F33" s="17"/>
    </row>
    <row r="34" s="39" customFormat="true" ht="16.5" hidden="false" customHeight="true" outlineLevel="0" collapsed="false">
      <c r="A34" s="33" t="s">
        <v>120</v>
      </c>
      <c r="B34" s="36" t="n">
        <f aca="false">B14+B17</f>
        <v>4872</v>
      </c>
      <c r="C34" s="36" t="n">
        <f aca="false">C14+C17</f>
        <v>6617</v>
      </c>
      <c r="D34" s="36" t="n">
        <f aca="false">D14+D17</f>
        <v>3268</v>
      </c>
      <c r="E34" s="36" t="n">
        <f aca="false">E14+E17</f>
        <v>4882.76676125</v>
      </c>
      <c r="F34" s="36" t="n">
        <f aca="false">F14+F17</f>
        <v>5723.1066622625</v>
      </c>
      <c r="H34" s="42" t="n">
        <f aca="false">IFERROR((C34-B34)/ABS(B34),"-")</f>
        <v>0.358169129720854</v>
      </c>
      <c r="I34" s="42" t="n">
        <f aca="false">IFERROR((D34-C34)/ABS(C34),"-")</f>
        <v>-0.506120598458516</v>
      </c>
    </row>
    <row r="35" customFormat="false" ht="16.5" hidden="false" customHeight="true" outlineLevel="0" collapsed="false"/>
    <row r="38" customFormat="false" ht="15.75" hidden="false" customHeight="true" outlineLevel="0" collapsed="false">
      <c r="A38" s="21" t="s">
        <v>121</v>
      </c>
    </row>
    <row r="39" customFormat="false" ht="15.75" hidden="false" customHeight="true" outlineLevel="0" collapsed="false">
      <c r="A39" s="22" t="s">
        <v>122</v>
      </c>
    </row>
    <row r="40" customFormat="false" ht="15.75" hidden="false" customHeight="true" outlineLevel="0" collapsed="false">
      <c r="A40" s="22" t="s">
        <v>123</v>
      </c>
    </row>
    <row r="41" customFormat="false" ht="15.75" hidden="false" customHeight="true" outlineLevel="0" collapsed="false">
      <c r="A41" s="22" t="s">
        <v>124</v>
      </c>
    </row>
    <row r="42" customFormat="false" ht="15.75" hidden="false" customHeight="true" outlineLevel="0" collapsed="false">
      <c r="A42" s="22" t="s">
        <v>125</v>
      </c>
    </row>
    <row r="43" customFormat="false" ht="15.75" hidden="false" customHeight="true" outlineLevel="0" collapsed="false">
      <c r="A43" s="22" t="s">
        <v>126</v>
      </c>
    </row>
    <row r="44" customFormat="false" ht="15.75" hidden="false" customHeight="true" outlineLevel="0" collapsed="false">
      <c r="A44" s="22" t="s">
        <v>127</v>
      </c>
    </row>
    <row r="45" customFormat="false" ht="15.75" hidden="false" customHeight="true" outlineLevel="0" collapsed="false">
      <c r="A45" s="22" t="s">
        <v>128</v>
      </c>
    </row>
    <row r="46" customFormat="false" ht="15.75" hidden="false" customHeight="true" outlineLevel="0" collapsed="false">
      <c r="A46" s="22" t="s">
        <v>129</v>
      </c>
    </row>
    <row r="47" customFormat="false" ht="15.75" hidden="false" customHeight="true" outlineLevel="0" collapsed="false">
      <c r="A47" s="22" t="s">
        <v>130</v>
      </c>
    </row>
    <row r="48" customFormat="false" ht="15.75" hidden="false" customHeight="true" outlineLevel="0" collapsed="false">
      <c r="A48" s="22" t="s">
        <v>131</v>
      </c>
    </row>
    <row r="49" customFormat="false" ht="15.75" hidden="false" customHeight="true" outlineLevel="0" collapsed="false">
      <c r="A49" s="22" t="s">
        <v>132</v>
      </c>
    </row>
    <row r="50" customFormat="false" ht="15.75" hidden="false" customHeight="true" outlineLevel="0" collapsed="false">
      <c r="A50" s="22" t="s">
        <v>133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N50" activeCellId="0" sqref="N50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83"/>
    <col collapsed="false" customWidth="true" hidden="false" outlineLevel="0" max="4" min="2" style="1" width="14.83"/>
    <col collapsed="false" customWidth="true" hidden="false" outlineLevel="0" max="9" min="8" style="1" width="12.83"/>
  </cols>
  <sheetData>
    <row r="1" customFormat="false" ht="18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  <c r="I1" s="2"/>
    </row>
    <row r="3" customFormat="false" ht="15.75" hidden="false" customHeight="true" outlineLevel="0" collapsed="false">
      <c r="A3" s="3" t="s">
        <v>55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H3" s="3" t="s">
        <v>59</v>
      </c>
      <c r="I3" s="3" t="s">
        <v>60</v>
      </c>
    </row>
    <row r="4" customFormat="false" ht="15.75" hidden="false" customHeight="true" outlineLevel="0" collapsed="false">
      <c r="A4" s="24" t="s">
        <v>135</v>
      </c>
    </row>
    <row r="5" customFormat="false" ht="15.75" hidden="false" customHeight="true" outlineLevel="0" collapsed="false">
      <c r="A5" s="24" t="s">
        <v>136</v>
      </c>
    </row>
    <row r="6" customFormat="false" ht="15.75" hidden="false" customHeight="true" outlineLevel="0" collapsed="false">
      <c r="A6" s="8" t="s">
        <v>137</v>
      </c>
      <c r="B6" s="17" t="n">
        <v>7441</v>
      </c>
      <c r="C6" s="17" t="n">
        <v>9860</v>
      </c>
      <c r="D6" s="17" t="n">
        <v>7464</v>
      </c>
      <c r="E6" s="17" t="n">
        <f aca="false">'03-CFS'!E32</f>
        <v>8569.76676125</v>
      </c>
      <c r="F6" s="17" t="n">
        <f aca="false">'03-CFS'!F32</f>
        <v>9914.8734235125</v>
      </c>
    </row>
    <row r="7" customFormat="false" ht="15.75" hidden="false" customHeight="true" outlineLevel="0" collapsed="false">
      <c r="A7" s="8" t="s">
        <v>138</v>
      </c>
      <c r="B7" s="17" t="n">
        <v>3234</v>
      </c>
      <c r="C7" s="17" t="n">
        <v>1722</v>
      </c>
      <c r="D7" s="17" t="n">
        <v>1687</v>
      </c>
      <c r="E7" s="17" t="n">
        <f aca="false">D7</f>
        <v>1687</v>
      </c>
      <c r="F7" s="17" t="n">
        <f aca="false">E7</f>
        <v>1687</v>
      </c>
    </row>
    <row r="8" customFormat="false" ht="15.75" hidden="false" customHeight="true" outlineLevel="0" collapsed="false">
      <c r="A8" s="8" t="s">
        <v>139</v>
      </c>
      <c r="B8" s="17" t="n">
        <v>4131</v>
      </c>
      <c r="C8" s="17" t="n">
        <v>4427</v>
      </c>
      <c r="D8" s="17" t="n">
        <v>4717</v>
      </c>
      <c r="E8" s="17" t="n">
        <f aca="false">D8</f>
        <v>4717</v>
      </c>
      <c r="F8" s="17" t="n">
        <f aca="false">E8</f>
        <v>4717</v>
      </c>
    </row>
    <row r="9" customFormat="false" ht="15.75" hidden="false" customHeight="true" outlineLevel="0" collapsed="false">
      <c r="A9" s="8" t="s">
        <v>140</v>
      </c>
      <c r="B9" s="17" t="n">
        <v>8454</v>
      </c>
      <c r="C9" s="17" t="n">
        <v>7519</v>
      </c>
      <c r="D9" s="17" t="n">
        <v>7489</v>
      </c>
      <c r="E9" s="17" t="n">
        <f aca="false">D9</f>
        <v>7489</v>
      </c>
      <c r="F9" s="17" t="n">
        <f aca="false">E9</f>
        <v>7489</v>
      </c>
    </row>
    <row r="10" customFormat="false" ht="15.75" hidden="false" customHeight="true" outlineLevel="0" collapsed="false">
      <c r="A10" s="8" t="s">
        <v>141</v>
      </c>
      <c r="B10" s="17" t="n">
        <v>1942</v>
      </c>
      <c r="C10" s="17" t="n">
        <v>1854</v>
      </c>
      <c r="D10" s="17" t="n">
        <v>2005</v>
      </c>
      <c r="E10" s="17" t="n">
        <f aca="false">D10</f>
        <v>2005</v>
      </c>
      <c r="F10" s="17" t="n">
        <f aca="false">E10</f>
        <v>2005</v>
      </c>
    </row>
    <row r="11" s="39" customFormat="true" ht="15.75" hidden="false" customHeight="true" outlineLevel="0" collapsed="false">
      <c r="A11" s="28" t="s">
        <v>142</v>
      </c>
      <c r="B11" s="31" t="n">
        <f aca="false">SUM(B6:B10)</f>
        <v>25202</v>
      </c>
      <c r="C11" s="31" t="n">
        <f aca="false">SUM(C6:C10)</f>
        <v>25382</v>
      </c>
      <c r="D11" s="31" t="n">
        <f aca="false">SUM(D6:D10)</f>
        <v>23362</v>
      </c>
      <c r="E11" s="31" t="n">
        <f aca="false">SUM(E6:E10)</f>
        <v>24467.76676125</v>
      </c>
      <c r="F11" s="31" t="n">
        <f aca="false">SUM(F6:F10)</f>
        <v>25812.8734235125</v>
      </c>
    </row>
    <row r="12" customFormat="false" ht="15.75" hidden="false" customHeight="true" outlineLevel="0" collapsed="false">
      <c r="A12" s="8"/>
      <c r="B12" s="17"/>
      <c r="C12" s="17"/>
      <c r="D12" s="17"/>
    </row>
    <row r="13" customFormat="false" ht="15.75" hidden="false" customHeight="true" outlineLevel="0" collapsed="false">
      <c r="A13" s="24" t="s">
        <v>143</v>
      </c>
      <c r="B13" s="17"/>
      <c r="C13" s="17"/>
      <c r="D13" s="17"/>
    </row>
    <row r="14" customFormat="false" ht="15.75" hidden="false" customHeight="true" outlineLevel="0" collapsed="false">
      <c r="A14" s="8" t="s">
        <v>144</v>
      </c>
      <c r="B14" s="17" t="n">
        <v>5081</v>
      </c>
      <c r="C14" s="17" t="n">
        <v>5000</v>
      </c>
      <c r="D14" s="17" t="n">
        <v>4828</v>
      </c>
      <c r="E14" s="17" t="n">
        <f aca="false">D14</f>
        <v>4828</v>
      </c>
      <c r="F14" s="17" t="n">
        <f aca="false">E14</f>
        <v>4828</v>
      </c>
    </row>
    <row r="15" customFormat="false" ht="15.75" hidden="false" customHeight="true" outlineLevel="0" collapsed="false">
      <c r="A15" s="8" t="s">
        <v>145</v>
      </c>
      <c r="B15" s="17" t="n">
        <v>2923</v>
      </c>
      <c r="C15" s="17" t="n">
        <v>2718</v>
      </c>
      <c r="D15" s="17" t="n">
        <v>2712</v>
      </c>
      <c r="E15" s="17" t="n">
        <f aca="false">D15</f>
        <v>2712</v>
      </c>
      <c r="F15" s="17" t="n">
        <f aca="false">E15</f>
        <v>2712</v>
      </c>
    </row>
    <row r="16" customFormat="false" ht="15.75" hidden="false" customHeight="true" outlineLevel="0" collapsed="false">
      <c r="A16" s="8" t="s">
        <v>146</v>
      </c>
      <c r="B16" s="17" t="n">
        <v>555</v>
      </c>
      <c r="C16" s="17" t="n">
        <v>499</v>
      </c>
      <c r="D16" s="17" t="n">
        <v>499</v>
      </c>
      <c r="E16" s="17" t="n">
        <f aca="false">D16</f>
        <v>499</v>
      </c>
      <c r="F16" s="17" t="n">
        <f aca="false">E16</f>
        <v>499</v>
      </c>
    </row>
    <row r="17" customFormat="false" ht="15.75" hidden="false" customHeight="true" outlineLevel="0" collapsed="false">
      <c r="A17" s="8" t="s">
        <v>147</v>
      </c>
      <c r="B17" s="17" t="n">
        <v>3770</v>
      </c>
      <c r="C17" s="17" t="n">
        <v>4511</v>
      </c>
      <c r="D17" s="17" t="n">
        <v>5178</v>
      </c>
      <c r="E17" s="17" t="n">
        <f aca="false">D17</f>
        <v>5178</v>
      </c>
      <c r="F17" s="17" t="n">
        <f aca="false">E17</f>
        <v>5178</v>
      </c>
    </row>
    <row r="18" s="39" customFormat="true" ht="15.75" hidden="false" customHeight="true" outlineLevel="0" collapsed="false">
      <c r="A18" s="28" t="s">
        <v>148</v>
      </c>
      <c r="B18" s="31" t="n">
        <f aca="false">SUM(B14:B17)</f>
        <v>12329</v>
      </c>
      <c r="C18" s="31" t="n">
        <f aca="false">SUM(C14:C17)</f>
        <v>12728</v>
      </c>
      <c r="D18" s="31" t="n">
        <f aca="false">SUM(D14:D17)</f>
        <v>13217</v>
      </c>
      <c r="E18" s="31" t="n">
        <f aca="false">SUM(E14:E17)</f>
        <v>13217</v>
      </c>
      <c r="F18" s="31" t="n">
        <f aca="false">SUM(F14:F17)</f>
        <v>13217</v>
      </c>
    </row>
    <row r="19" s="39" customFormat="true" ht="16.5" hidden="false" customHeight="true" outlineLevel="0" collapsed="false">
      <c r="A19" s="43" t="s">
        <v>149</v>
      </c>
      <c r="B19" s="44" t="n">
        <f aca="false">B11+B18</f>
        <v>37531</v>
      </c>
      <c r="C19" s="44" t="n">
        <f aca="false">C11+C18</f>
        <v>38110</v>
      </c>
      <c r="D19" s="44" t="n">
        <f aca="false">D11+D18</f>
        <v>36579</v>
      </c>
      <c r="E19" s="44" t="n">
        <f aca="false">E11+E18</f>
        <v>37684.76676125</v>
      </c>
      <c r="F19" s="44" t="n">
        <f aca="false">F11+F18</f>
        <v>39029.8734235125</v>
      </c>
      <c r="H19" s="45" t="n">
        <f aca="false">IFERROR((C19-B19)/B19,"-")</f>
        <v>0.0154272468093043</v>
      </c>
      <c r="I19" s="45" t="n">
        <f aca="false">IFERROR((D19-C19)/C19,"-")</f>
        <v>-0.0401731828916295</v>
      </c>
    </row>
    <row r="20" customFormat="false" ht="16.5" hidden="false" customHeight="true" outlineLevel="0" collapsed="false">
      <c r="A20" s="8"/>
      <c r="B20" s="17"/>
      <c r="C20" s="17"/>
      <c r="D20" s="17"/>
      <c r="H20" s="12"/>
      <c r="I20" s="12"/>
    </row>
    <row r="21" customFormat="false" ht="15.75" hidden="false" customHeight="true" outlineLevel="0" collapsed="false">
      <c r="A21" s="24" t="s">
        <v>150</v>
      </c>
      <c r="B21" s="17"/>
      <c r="C21" s="17"/>
      <c r="D21" s="17"/>
      <c r="H21" s="12"/>
      <c r="I21" s="12"/>
    </row>
    <row r="22" customFormat="false" ht="15.75" hidden="false" customHeight="true" outlineLevel="0" collapsed="false">
      <c r="A22" s="24" t="s">
        <v>151</v>
      </c>
      <c r="B22" s="17"/>
      <c r="C22" s="17"/>
      <c r="D22" s="17"/>
      <c r="H22" s="12"/>
      <c r="I22" s="12"/>
    </row>
    <row r="23" customFormat="false" ht="15.75" hidden="false" customHeight="true" outlineLevel="0" collapsed="false">
      <c r="A23" s="8" t="s">
        <v>152</v>
      </c>
      <c r="B23" s="17" t="n">
        <v>2862</v>
      </c>
      <c r="C23" s="17" t="n">
        <v>2851</v>
      </c>
      <c r="D23" s="17" t="n">
        <v>3479</v>
      </c>
      <c r="E23" s="17" t="n">
        <f aca="false">D23</f>
        <v>3479</v>
      </c>
      <c r="F23" s="17" t="n">
        <f aca="false">E23</f>
        <v>3479</v>
      </c>
      <c r="H23" s="12"/>
      <c r="I23" s="12"/>
    </row>
    <row r="24" customFormat="false" ht="15.75" hidden="false" customHeight="true" outlineLevel="0" collapsed="false">
      <c r="A24" s="8" t="s">
        <v>153</v>
      </c>
      <c r="B24" s="17" t="n">
        <v>6</v>
      </c>
      <c r="C24" s="17" t="n">
        <v>6</v>
      </c>
      <c r="D24" s="17" t="n">
        <v>5</v>
      </c>
      <c r="E24" s="17" t="n">
        <f aca="false">D24</f>
        <v>5</v>
      </c>
      <c r="F24" s="17" t="n">
        <f aca="false">E24</f>
        <v>5</v>
      </c>
      <c r="H24" s="12"/>
      <c r="I24" s="12"/>
    </row>
    <row r="25" customFormat="false" ht="15.75" hidden="false" customHeight="true" outlineLevel="0" collapsed="false">
      <c r="A25" s="8" t="s">
        <v>154</v>
      </c>
      <c r="B25" s="17" t="n">
        <v>240</v>
      </c>
      <c r="C25" s="17" t="n">
        <v>534</v>
      </c>
      <c r="D25" s="17" t="n">
        <v>669</v>
      </c>
      <c r="E25" s="17" t="n">
        <f aca="false">D25</f>
        <v>669</v>
      </c>
      <c r="F25" s="17" t="n">
        <f aca="false">E25</f>
        <v>669</v>
      </c>
      <c r="H25" s="12"/>
      <c r="I25" s="12"/>
    </row>
    <row r="26" customFormat="false" ht="15.75" hidden="false" customHeight="true" outlineLevel="0" collapsed="false">
      <c r="A26" s="8" t="s">
        <v>155</v>
      </c>
      <c r="B26" s="17" t="n">
        <v>5723</v>
      </c>
      <c r="C26" s="17" t="n">
        <v>5725</v>
      </c>
      <c r="D26" s="17" t="n">
        <v>5911</v>
      </c>
      <c r="E26" s="17" t="n">
        <f aca="false">D26</f>
        <v>5911</v>
      </c>
      <c r="F26" s="17" t="n">
        <f aca="false">E26</f>
        <v>5911</v>
      </c>
      <c r="H26" s="12"/>
      <c r="I26" s="12"/>
    </row>
    <row r="27" customFormat="false" ht="15.75" hidden="false" customHeight="true" outlineLevel="0" collapsed="false">
      <c r="A27" s="8" t="s">
        <v>156</v>
      </c>
      <c r="B27" s="17" t="n">
        <v>0</v>
      </c>
      <c r="C27" s="17" t="n">
        <v>1000</v>
      </c>
      <c r="D27" s="17" t="n">
        <v>0</v>
      </c>
      <c r="E27" s="17" t="n">
        <f aca="false">D27</f>
        <v>0</v>
      </c>
      <c r="F27" s="17" t="n">
        <f aca="false">E27</f>
        <v>0</v>
      </c>
      <c r="H27" s="12"/>
      <c r="I27" s="12"/>
    </row>
    <row r="28" customFormat="false" ht="15.75" hidden="false" customHeight="true" outlineLevel="0" collapsed="false">
      <c r="A28" s="8" t="s">
        <v>157</v>
      </c>
      <c r="B28" s="17" t="n">
        <v>425</v>
      </c>
      <c r="C28" s="17" t="n">
        <v>477</v>
      </c>
      <c r="D28" s="17" t="n">
        <v>502</v>
      </c>
      <c r="E28" s="17" t="n">
        <f aca="false">D28</f>
        <v>502</v>
      </c>
      <c r="F28" s="17" t="n">
        <f aca="false">E28</f>
        <v>502</v>
      </c>
      <c r="H28" s="12"/>
      <c r="I28" s="12"/>
    </row>
    <row r="29" s="39" customFormat="true" ht="15.75" hidden="false" customHeight="true" outlineLevel="0" collapsed="false">
      <c r="A29" s="28" t="s">
        <v>158</v>
      </c>
      <c r="B29" s="31" t="n">
        <f aca="false">SUM(B23:B28)</f>
        <v>9256</v>
      </c>
      <c r="C29" s="31" t="n">
        <f aca="false">SUM(C23:C28)</f>
        <v>10593</v>
      </c>
      <c r="D29" s="31" t="n">
        <f aca="false">SUM(D23:D28)</f>
        <v>10566</v>
      </c>
      <c r="E29" s="31" t="n">
        <f aca="false">SUM(E23:E28)</f>
        <v>10566</v>
      </c>
      <c r="F29" s="31" t="n">
        <f aca="false">SUM(F23:F28)</f>
        <v>10566</v>
      </c>
      <c r="H29" s="46" t="n">
        <f aca="false">IFERROR((C29-B29)/B29,"-")</f>
        <v>0.144446845289542</v>
      </c>
      <c r="I29" s="46" t="n">
        <f aca="false">IFERROR((D29-C29)/C29,"-")</f>
        <v>-0.00254885301614274</v>
      </c>
    </row>
    <row r="30" customFormat="false" ht="15.75" hidden="false" customHeight="true" outlineLevel="0" collapsed="false">
      <c r="A30" s="8"/>
      <c r="B30" s="17"/>
      <c r="C30" s="17"/>
      <c r="D30" s="17"/>
      <c r="H30" s="12"/>
      <c r="I30" s="12"/>
    </row>
    <row r="31" customFormat="false" ht="15.75" hidden="false" customHeight="true" outlineLevel="0" collapsed="false">
      <c r="A31" s="24" t="s">
        <v>159</v>
      </c>
      <c r="B31" s="17"/>
      <c r="C31" s="17"/>
      <c r="D31" s="17"/>
      <c r="H31" s="12"/>
      <c r="I31" s="12"/>
    </row>
    <row r="32" customFormat="false" ht="15.75" hidden="false" customHeight="true" outlineLevel="0" collapsed="false">
      <c r="A32" s="8" t="s">
        <v>160</v>
      </c>
      <c r="B32" s="17" t="n">
        <v>8927</v>
      </c>
      <c r="C32" s="17" t="n">
        <v>7903</v>
      </c>
      <c r="D32" s="17" t="n">
        <v>7961</v>
      </c>
      <c r="E32" s="17" t="n">
        <f aca="false">D32+'03-CFS'!E25</f>
        <v>7961</v>
      </c>
      <c r="F32" s="17" t="n">
        <f aca="false">E32+'03-CFS'!F25</f>
        <v>7461</v>
      </c>
      <c r="H32" s="12"/>
      <c r="I32" s="12"/>
    </row>
    <row r="33" customFormat="false" ht="15.75" hidden="false" customHeight="true" outlineLevel="0" collapsed="false">
      <c r="A33" s="8" t="s">
        <v>161</v>
      </c>
      <c r="B33" s="17" t="n">
        <v>2786</v>
      </c>
      <c r="C33" s="17" t="n">
        <v>2566</v>
      </c>
      <c r="D33" s="17" t="n">
        <v>2550</v>
      </c>
      <c r="E33" s="17" t="n">
        <f aca="false">D33</f>
        <v>2550</v>
      </c>
      <c r="F33" s="17" t="n">
        <f aca="false">E33</f>
        <v>2550</v>
      </c>
      <c r="H33" s="12"/>
      <c r="I33" s="12"/>
    </row>
    <row r="34" customFormat="false" ht="15.75" hidden="false" customHeight="true" outlineLevel="0" collapsed="false">
      <c r="A34" s="8" t="s">
        <v>162</v>
      </c>
      <c r="B34" s="17" t="n">
        <v>2558</v>
      </c>
      <c r="C34" s="17" t="n">
        <v>2618</v>
      </c>
      <c r="D34" s="17" t="n">
        <v>2289</v>
      </c>
      <c r="E34" s="17" t="n">
        <f aca="false">D34</f>
        <v>2289</v>
      </c>
      <c r="F34" s="17" t="n">
        <f aca="false">E34</f>
        <v>2289</v>
      </c>
      <c r="H34" s="12"/>
      <c r="I34" s="12"/>
    </row>
    <row r="35" customFormat="false" ht="15.75" hidden="false" customHeight="true" outlineLevel="0" collapsed="false">
      <c r="A35" s="28" t="s">
        <v>163</v>
      </c>
      <c r="B35" s="31" t="n">
        <f aca="false">SUM(B32:B34)</f>
        <v>14271</v>
      </c>
      <c r="C35" s="31" t="n">
        <f aca="false">SUM(C32:C34)</f>
        <v>13087</v>
      </c>
      <c r="D35" s="31" t="n">
        <f aca="false">SUM(D32:D34)</f>
        <v>12800</v>
      </c>
      <c r="E35" s="31" t="n">
        <f aca="false">SUM(E32:E34)</f>
        <v>12800</v>
      </c>
      <c r="F35" s="31" t="n">
        <f aca="false">SUM(F32:F34)</f>
        <v>12300</v>
      </c>
      <c r="H35" s="12"/>
      <c r="I35" s="12"/>
    </row>
    <row r="36" s="39" customFormat="true" ht="15.75" hidden="false" customHeight="true" outlineLevel="0" collapsed="false">
      <c r="A36" s="28" t="s">
        <v>164</v>
      </c>
      <c r="B36" s="31" t="n">
        <f aca="false">B29+B35</f>
        <v>23527</v>
      </c>
      <c r="C36" s="31" t="n">
        <f aca="false">C29+C35</f>
        <v>23680</v>
      </c>
      <c r="D36" s="31" t="n">
        <f aca="false">D29+D35</f>
        <v>23366</v>
      </c>
      <c r="E36" s="31" t="n">
        <f aca="false">E29+E35</f>
        <v>23366</v>
      </c>
      <c r="F36" s="31" t="n">
        <f aca="false">F29+F35</f>
        <v>22866</v>
      </c>
      <c r="H36" s="46" t="n">
        <f aca="false">IFERROR((C36-B36)/B36,"-")</f>
        <v>0.00650316657457389</v>
      </c>
      <c r="I36" s="46" t="n">
        <f aca="false">IFERROR((D36-C36)/C36,"-")</f>
        <v>-0.0132601351351351</v>
      </c>
    </row>
    <row r="37" customFormat="false" ht="15.75" hidden="false" customHeight="true" outlineLevel="0" collapsed="false">
      <c r="A37" s="8"/>
      <c r="B37" s="17"/>
      <c r="C37" s="17"/>
      <c r="D37" s="17"/>
      <c r="H37" s="12"/>
      <c r="I37" s="12"/>
    </row>
    <row r="38" customFormat="false" ht="15.75" hidden="false" customHeight="true" outlineLevel="0" collapsed="false">
      <c r="A38" s="24" t="s">
        <v>165</v>
      </c>
      <c r="B38" s="17"/>
      <c r="C38" s="17"/>
      <c r="D38" s="17"/>
      <c r="H38" s="12"/>
      <c r="I38" s="12"/>
    </row>
    <row r="39" customFormat="false" ht="15.75" hidden="false" customHeight="true" outlineLevel="0" collapsed="false">
      <c r="A39" s="8" t="s">
        <v>166</v>
      </c>
      <c r="B39" s="17" t="n">
        <v>12415</v>
      </c>
      <c r="C39" s="17" t="n">
        <v>13412</v>
      </c>
      <c r="D39" s="17" t="n">
        <v>14198</v>
      </c>
      <c r="E39" s="17" t="n">
        <f aca="false">D39</f>
        <v>14198</v>
      </c>
      <c r="F39" s="17" t="n">
        <f aca="false">E39</f>
        <v>14198</v>
      </c>
      <c r="H39" s="12"/>
      <c r="I39" s="12"/>
    </row>
    <row r="40" customFormat="false" ht="15.75" hidden="false" customHeight="true" outlineLevel="0" collapsed="false">
      <c r="A40" s="8" t="s">
        <v>167</v>
      </c>
      <c r="B40" s="17" t="n">
        <v>1358</v>
      </c>
      <c r="C40" s="17" t="n">
        <v>965</v>
      </c>
      <c r="D40" s="17" t="n">
        <v>-727</v>
      </c>
      <c r="E40" s="17" t="n">
        <f aca="false">D40+'02-IS'!J24+'03-CFS'!E23+'03-CFS'!E24</f>
        <v>197.640111250003</v>
      </c>
      <c r="F40" s="17" t="n">
        <f aca="false">E40+'02-IS'!K24+'03-CFS'!F23+'03-CFS'!F24</f>
        <v>1820.8030965125</v>
      </c>
      <c r="H40" s="12"/>
      <c r="I40" s="12"/>
    </row>
    <row r="41" customFormat="false" ht="15.75" hidden="false" customHeight="true" outlineLevel="0" collapsed="false">
      <c r="A41" s="8" t="s">
        <v>168</v>
      </c>
      <c r="B41" s="17" t="n">
        <v>231</v>
      </c>
      <c r="C41" s="17" t="n">
        <v>53</v>
      </c>
      <c r="D41" s="17" t="n">
        <v>-258</v>
      </c>
      <c r="E41" s="17" t="n">
        <f aca="false">D41</f>
        <v>-258</v>
      </c>
      <c r="F41" s="17" t="n">
        <f aca="false">E41</f>
        <v>-258</v>
      </c>
      <c r="H41" s="12"/>
      <c r="I41" s="12"/>
    </row>
    <row r="42" s="39" customFormat="true" ht="15.75" hidden="false" customHeight="true" outlineLevel="0" collapsed="false">
      <c r="A42" s="28" t="s">
        <v>169</v>
      </c>
      <c r="B42" s="31" t="n">
        <f aca="false">SUM(B39:B41)</f>
        <v>14004</v>
      </c>
      <c r="C42" s="31" t="n">
        <f aca="false">SUM(C39:C41)</f>
        <v>14430</v>
      </c>
      <c r="D42" s="31" t="n">
        <f aca="false">SUM(D39:D41)</f>
        <v>13213</v>
      </c>
      <c r="E42" s="31" t="n">
        <f aca="false">SUM(E39:E41)</f>
        <v>14137.64011125</v>
      </c>
      <c r="F42" s="31" t="n">
        <f aca="false">SUM(F39:F41)</f>
        <v>15760.8030965125</v>
      </c>
      <c r="H42" s="46" t="n">
        <f aca="false">IFERROR((C42-B42)/B42,"-")</f>
        <v>0.0304198800342759</v>
      </c>
      <c r="I42" s="46" t="n">
        <f aca="false">IFERROR((D42-C42)/C42,"-")</f>
        <v>-0.0843381843381843</v>
      </c>
    </row>
    <row r="43" s="39" customFormat="true" ht="16.5" hidden="false" customHeight="true" outlineLevel="0" collapsed="false">
      <c r="A43" s="43" t="s">
        <v>170</v>
      </c>
      <c r="B43" s="36" t="n">
        <f aca="false">B36+B42</f>
        <v>37531</v>
      </c>
      <c r="C43" s="36" t="n">
        <f aca="false">C36+C42</f>
        <v>38110</v>
      </c>
      <c r="D43" s="36" t="n">
        <f aca="false">D36+D42</f>
        <v>36579</v>
      </c>
      <c r="E43" s="36" t="n">
        <f aca="false">E36+E42</f>
        <v>37503.64011125</v>
      </c>
      <c r="F43" s="36" t="n">
        <f aca="false">F36+F42</f>
        <v>38626.8030965125</v>
      </c>
      <c r="H43" s="45" t="n">
        <f aca="false">IFERROR((C43-B43)/B43,"-")</f>
        <v>0.0154272468093043</v>
      </c>
      <c r="I43" s="45" t="n">
        <f aca="false">IFERROR((D43-C43)/C43,"-")</f>
        <v>-0.0401731828916295</v>
      </c>
    </row>
    <row r="44" customFormat="false" ht="16.5" hidden="false" customHeight="true" outlineLevel="0" collapsed="false">
      <c r="A44" s="8"/>
      <c r="B44" s="17"/>
      <c r="C44" s="17"/>
      <c r="D44" s="17"/>
    </row>
    <row r="45" customFormat="false" ht="15.75" hidden="false" customHeight="true" outlineLevel="0" collapsed="false">
      <c r="A45" s="24" t="s">
        <v>171</v>
      </c>
      <c r="B45" s="47" t="n">
        <f aca="false">B19-B43</f>
        <v>0</v>
      </c>
      <c r="C45" s="47" t="n">
        <f aca="false">C19-C43</f>
        <v>0</v>
      </c>
      <c r="D45" s="47" t="n">
        <f aca="false">D19-D43</f>
        <v>0</v>
      </c>
      <c r="E45" s="47" t="n">
        <f aca="false">E19-E43</f>
        <v>181.126649999998</v>
      </c>
      <c r="F45" s="47" t="n">
        <f aca="false">F19-F43</f>
        <v>403.070327000001</v>
      </c>
    </row>
    <row r="48" customFormat="false" ht="15.75" hidden="false" customHeight="true" outlineLevel="0" collapsed="false">
      <c r="A48" s="21" t="s">
        <v>172</v>
      </c>
    </row>
    <row r="49" customFormat="false" ht="15.75" hidden="false" customHeight="true" outlineLevel="0" collapsed="false">
      <c r="A49" s="22" t="s">
        <v>173</v>
      </c>
    </row>
    <row r="50" customFormat="false" ht="15.75" hidden="false" customHeight="true" outlineLevel="0" collapsed="false">
      <c r="A50" s="22" t="s">
        <v>174</v>
      </c>
    </row>
    <row r="51" customFormat="false" ht="15.75" hidden="false" customHeight="true" outlineLevel="0" collapsed="false">
      <c r="A51" s="22" t="s">
        <v>175</v>
      </c>
    </row>
    <row r="52" customFormat="false" ht="15.75" hidden="false" customHeight="true" outlineLevel="0" collapsed="false">
      <c r="A52" s="22" t="s">
        <v>176</v>
      </c>
    </row>
    <row r="53" customFormat="false" ht="15.75" hidden="false" customHeight="true" outlineLevel="0" collapsed="false">
      <c r="A53" s="22" t="s">
        <v>177</v>
      </c>
    </row>
    <row r="54" customFormat="false" ht="15.75" hidden="false" customHeight="true" outlineLevel="0" collapsed="false">
      <c r="A54" s="22" t="s">
        <v>178</v>
      </c>
    </row>
    <row r="55" customFormat="false" ht="15.75" hidden="false" customHeight="true" outlineLevel="0" collapsed="false">
      <c r="A55" s="22" t="s">
        <v>179</v>
      </c>
    </row>
    <row r="56" customFormat="false" ht="15.75" hidden="false" customHeight="true" outlineLevel="0" collapsed="false">
      <c r="A56" s="22" t="s">
        <v>180</v>
      </c>
    </row>
    <row r="57" customFormat="false" ht="15.75" hidden="false" customHeight="true" outlineLevel="0" collapsed="false">
      <c r="A57" s="22" t="s">
        <v>181</v>
      </c>
    </row>
    <row r="58" customFormat="false" ht="15.75" hidden="false" customHeight="true" outlineLevel="0" collapsed="false">
      <c r="A58" s="22" t="s">
        <v>182</v>
      </c>
    </row>
    <row r="59" customFormat="false" ht="15.75" hidden="false" customHeight="true" outlineLevel="0" collapsed="false">
      <c r="A59" s="22" t="s">
        <v>183</v>
      </c>
    </row>
    <row r="60" customFormat="false" ht="15.75" hidden="false" customHeight="true" outlineLevel="0" collapsed="false">
      <c r="A60" s="22" t="s">
        <v>184</v>
      </c>
    </row>
    <row r="61" customFormat="false" ht="15.75" hidden="false" customHeight="true" outlineLevel="0" collapsed="false">
      <c r="A61" s="22" t="s">
        <v>185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E39" activeCellId="0" sqref="E39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67"/>
    <col collapsed="false" customWidth="true" hidden="false" outlineLevel="0" max="2" min="2" style="1" width="14.83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6" min="5" style="1" width="15.67"/>
    <col collapsed="false" customWidth="true" hidden="false" outlineLevel="0" max="7" min="7" style="1" width="21.33"/>
  </cols>
  <sheetData>
    <row r="1" customFormat="false" ht="18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</row>
    <row r="3" customFormat="false" ht="15.75" hidden="false" customHeight="true" outlineLevel="0" collapsed="false">
      <c r="A3" s="5" t="s">
        <v>187</v>
      </c>
      <c r="B3" s="5" t="s">
        <v>2</v>
      </c>
      <c r="C3" s="5" t="s">
        <v>3</v>
      </c>
      <c r="D3" s="5" t="s">
        <v>4</v>
      </c>
      <c r="E3" s="5" t="s">
        <v>59</v>
      </c>
      <c r="F3" s="5" t="s">
        <v>60</v>
      </c>
      <c r="G3" s="5" t="s">
        <v>188</v>
      </c>
    </row>
    <row r="4" customFormat="false" ht="15.75" hidden="false" customHeight="true" outlineLevel="0" collapsed="false">
      <c r="A4" s="48" t="s">
        <v>189</v>
      </c>
      <c r="B4" s="49"/>
      <c r="C4" s="49"/>
      <c r="D4" s="49"/>
      <c r="E4" s="49"/>
      <c r="F4" s="49"/>
      <c r="G4" s="49"/>
    </row>
    <row r="5" customFormat="false" ht="15.75" hidden="false" customHeight="true" outlineLevel="0" collapsed="false">
      <c r="A5" s="8" t="s">
        <v>190</v>
      </c>
      <c r="B5" s="50" t="n">
        <f aca="false">IFERROR('02-IS'!B24/'02-IS'!B11,"-")</f>
        <v>0.0989905695374583</v>
      </c>
      <c r="C5" s="50" t="n">
        <f aca="false">IFERROR('02-IS'!C24/'02-IS'!C11,"-")</f>
        <v>0.110976986877458</v>
      </c>
      <c r="D5" s="50" t="n">
        <f aca="false">IFERROR('02-IS'!D24/'02-IS'!D11,"-")</f>
        <v>0.0695113260921203</v>
      </c>
      <c r="E5" s="50" t="n">
        <f aca="false">IFERROR((C5-B5)/ABS(B5),"-")</f>
        <v>0.121086456982795</v>
      </c>
      <c r="F5" s="50" t="n">
        <f aca="false">IFERROR((D5-C5)/ABS(C5),"-")</f>
        <v>-0.373641977062547</v>
      </c>
      <c r="G5" s="51" t="s">
        <v>191</v>
      </c>
    </row>
    <row r="6" customFormat="false" ht="15.75" hidden="false" customHeight="true" outlineLevel="0" collapsed="false">
      <c r="A6" s="8" t="s">
        <v>192</v>
      </c>
      <c r="B6" s="50" t="n">
        <f aca="false">IFERROR('02-IS'!B13/'02-IS'!B11,"-")</f>
        <v>0.435246109690142</v>
      </c>
      <c r="C6" s="50" t="n">
        <f aca="false">IFERROR('02-IS'!C13/'02-IS'!C11,"-")</f>
        <v>0.445601806783225</v>
      </c>
      <c r="D6" s="50" t="n">
        <f aca="false">IFERROR('02-IS'!D13/'02-IS'!D11,"-")</f>
        <v>0.427346736055626</v>
      </c>
      <c r="E6" s="50" t="n">
        <f aca="false">IFERROR((C6-B6)/ABS(B6),"-")</f>
        <v>0.0237927390102474</v>
      </c>
      <c r="F6" s="50" t="n">
        <f aca="false">IFERROR((D6-C6)/ABS(C6),"-")</f>
        <v>-0.0409672278022861</v>
      </c>
      <c r="G6" s="51" t="s">
        <v>193</v>
      </c>
    </row>
    <row r="7" customFormat="false" ht="15.75" hidden="false" customHeight="true" outlineLevel="0" collapsed="false">
      <c r="A7" s="8" t="s">
        <v>194</v>
      </c>
      <c r="B7" s="50" t="n">
        <f aca="false">IFERROR('02-IS'!B19/'02-IS'!B11,"-")</f>
        <v>0.129214909112209</v>
      </c>
      <c r="C7" s="50" t="n">
        <f aca="false">IFERROR('02-IS'!C19/'02-IS'!C11,"-")</f>
        <v>0.138370779954052</v>
      </c>
      <c r="D7" s="50" t="n">
        <f aca="false">IFERROR('02-IS'!D19/'02-IS'!D11,"-")</f>
        <v>0.0966766719212248</v>
      </c>
      <c r="E7" s="50" t="n">
        <f aca="false">IFERROR((C7-B7)/ABS(B7),"-")</f>
        <v>0.0708576967220705</v>
      </c>
      <c r="F7" s="50" t="n">
        <f aca="false">IFERROR((D7-C7)/ABS(C7),"-")</f>
        <v>-0.301321623298445</v>
      </c>
      <c r="G7" s="51" t="s">
        <v>195</v>
      </c>
    </row>
    <row r="8" customFormat="false" ht="15.75" hidden="false" customHeight="true" outlineLevel="0" collapsed="false">
      <c r="A8" s="8" t="s">
        <v>196</v>
      </c>
      <c r="B8" s="50" t="s">
        <v>10</v>
      </c>
      <c r="C8" s="50" t="n">
        <f aca="false">IFERROR(('02-IS'!C11-'02-IS'!B11)/'02-IS'!B11,"-")</f>
        <v>0.00283109123923697</v>
      </c>
      <c r="D8" s="50" t="n">
        <f aca="false">IFERROR(('02-IS'!D11-'02-IS'!C11)/'02-IS'!C11,"-")</f>
        <v>-0.0983801253845255</v>
      </c>
      <c r="E8" s="12"/>
      <c r="F8" s="12"/>
      <c r="G8" s="51" t="s">
        <v>197</v>
      </c>
    </row>
    <row r="9" customFormat="false" ht="15.75" hidden="false" customHeight="true" outlineLevel="0" collapsed="false">
      <c r="A9" s="8"/>
      <c r="E9" s="12"/>
      <c r="F9" s="12"/>
      <c r="G9" s="8"/>
    </row>
    <row r="10" customFormat="false" ht="15.75" hidden="false" customHeight="true" outlineLevel="0" collapsed="false">
      <c r="A10" s="48" t="s">
        <v>198</v>
      </c>
      <c r="B10" s="49"/>
      <c r="C10" s="49"/>
      <c r="D10" s="49"/>
      <c r="E10" s="52"/>
      <c r="F10" s="52"/>
      <c r="G10" s="53"/>
    </row>
    <row r="11" customFormat="false" ht="15.75" hidden="false" customHeight="true" outlineLevel="0" collapsed="false">
      <c r="A11" s="8" t="s">
        <v>199</v>
      </c>
      <c r="B11" s="50" t="n">
        <f aca="false">IFERROR('02-IS'!B24/'04-BS'!B42,"-")</f>
        <v>0.36203941730934</v>
      </c>
      <c r="C11" s="50" t="n">
        <f aca="false">IFERROR('02-IS'!C24/'04-BS'!C42,"-")</f>
        <v>0.395010395010395</v>
      </c>
      <c r="D11" s="50" t="n">
        <f aca="false">IFERROR('02-IS'!D24/'04-BS'!D42,"-")</f>
        <v>0.24362370392795</v>
      </c>
      <c r="E11" s="50" t="n">
        <f aca="false">IFERROR((C11-B11)/ABS(B11),"-")</f>
        <v>0.0910701324902509</v>
      </c>
      <c r="F11" s="50" t="n">
        <f aca="false">IFERROR((D11-C11)/ABS(C11),"-")</f>
        <v>-0.383247360056085</v>
      </c>
      <c r="G11" s="51" t="s">
        <v>200</v>
      </c>
    </row>
    <row r="12" customFormat="false" ht="15.75" hidden="false" customHeight="true" outlineLevel="0" collapsed="false">
      <c r="A12" s="8" t="s">
        <v>201</v>
      </c>
      <c r="B12" s="54" t="n">
        <f aca="false">IFERROR('04-BS'!B32/'02-IS'!B19,"-")</f>
        <v>1.34889694771834</v>
      </c>
      <c r="C12" s="54" t="n">
        <f aca="false">IFERROR('04-BS'!C32/'02-IS'!C19,"-")</f>
        <v>1.11200225130153</v>
      </c>
      <c r="D12" s="54" t="n">
        <f aca="false">IFERROR('04-BS'!D32/'02-IS'!D19,"-")</f>
        <v>1.7781996872906</v>
      </c>
      <c r="E12" s="50" t="n">
        <f aca="false">IFERROR((C12-B12)/ABS(B12),"-")</f>
        <v>-0.175621048603837</v>
      </c>
      <c r="F12" s="50" t="n">
        <f aca="false">IFERROR((D12-C12)/ABS(C12),"-")</f>
        <v>0.599097200755949</v>
      </c>
      <c r="G12" s="51" t="s">
        <v>202</v>
      </c>
    </row>
    <row r="13" customFormat="false" ht="15.75" hidden="false" customHeight="true" outlineLevel="0" collapsed="false">
      <c r="A13" s="8" t="s">
        <v>203</v>
      </c>
      <c r="B13" s="54" t="n">
        <f aca="false">IFERROR('04-BS'!B11/'04-BS'!B29,"-")</f>
        <v>2.72277441659464</v>
      </c>
      <c r="C13" s="54" t="n">
        <f aca="false">IFERROR('04-BS'!C11/'04-BS'!C29,"-")</f>
        <v>2.39611063910129</v>
      </c>
      <c r="D13" s="54" t="n">
        <f aca="false">IFERROR('04-BS'!D11/'04-BS'!D29,"-")</f>
        <v>2.21105432519402</v>
      </c>
      <c r="E13" s="50" t="n">
        <f aca="false">IFERROR((C13-B13)/ABS(B13),"-")</f>
        <v>-0.119974602193414</v>
      </c>
      <c r="F13" s="50" t="n">
        <f aca="false">IFERROR((D13-C13)/ABS(C13),"-")</f>
        <v>-0.0772319570254417</v>
      </c>
      <c r="G13" s="51" t="s">
        <v>204</v>
      </c>
    </row>
    <row r="14" customFormat="false" ht="15.75" hidden="false" customHeight="true" outlineLevel="0" collapsed="false">
      <c r="A14" s="8"/>
      <c r="E14" s="12"/>
      <c r="F14" s="12"/>
      <c r="G14" s="8"/>
    </row>
    <row r="15" customFormat="false" ht="15.75" hidden="false" customHeight="true" outlineLevel="0" collapsed="false">
      <c r="A15" s="48" t="s">
        <v>205</v>
      </c>
      <c r="B15" s="49"/>
      <c r="C15" s="49"/>
      <c r="D15" s="49"/>
      <c r="E15" s="52"/>
      <c r="F15" s="52"/>
      <c r="G15" s="53"/>
    </row>
    <row r="16" customFormat="false" ht="15.75" hidden="false" customHeight="true" outlineLevel="0" collapsed="false">
      <c r="A16" s="8" t="s">
        <v>206</v>
      </c>
      <c r="B16" s="55" t="n">
        <f aca="false">'03-CFS'!B34</f>
        <v>4872</v>
      </c>
      <c r="C16" s="55" t="n">
        <f aca="false">'03-CFS'!C34</f>
        <v>6617</v>
      </c>
      <c r="D16" s="55" t="n">
        <f aca="false">'03-CFS'!D34</f>
        <v>3268</v>
      </c>
      <c r="E16" s="50" t="n">
        <f aca="false">IFERROR((C16-B16)/ABS(B16),"-")</f>
        <v>0.358169129720854</v>
      </c>
      <c r="F16" s="50" t="n">
        <f aca="false">IFERROR((D16-C16)/ABS(C16),"-")</f>
        <v>-0.506120598458516</v>
      </c>
      <c r="G16" s="51" t="s">
        <v>207</v>
      </c>
    </row>
    <row r="17" customFormat="false" ht="15.75" hidden="false" customHeight="true" outlineLevel="0" collapsed="false">
      <c r="A17" s="8" t="s">
        <v>208</v>
      </c>
      <c r="B17" s="50" t="n">
        <f aca="false">IFERROR('03-CFS'!B34/'02-IS'!B11,"-")</f>
        <v>0.0951246656383623</v>
      </c>
      <c r="C17" s="50" t="n">
        <f aca="false">IFERROR('03-CFS'!C34/'02-IS'!C11,"-")</f>
        <v>0.128830653011954</v>
      </c>
      <c r="D17" s="50" t="n">
        <f aca="false">IFERROR('03-CFS'!D34/'02-IS'!D11,"-")</f>
        <v>0.0705694357468311</v>
      </c>
      <c r="E17" s="50" t="n">
        <f aca="false">IFERROR((C17-B17)/ABS(B17),"-")</f>
        <v>0.354334884095498</v>
      </c>
      <c r="F17" s="50" t="n">
        <f aca="false">IFERROR((D17-C17)/ABS(C17),"-")</f>
        <v>-0.452231017254234</v>
      </c>
      <c r="G17" s="51" t="s">
        <v>209</v>
      </c>
    </row>
    <row r="18" customFormat="false" ht="15.75" hidden="false" customHeight="true" outlineLevel="0" collapsed="false">
      <c r="A18" s="8" t="s">
        <v>210</v>
      </c>
      <c r="B18" s="50" t="n">
        <f aca="false">IFERROR('03-CFS'!B17/'02-IS'!B11,"-")</f>
        <v>-0.0189194993849698</v>
      </c>
      <c r="C18" s="50" t="n">
        <f aca="false">IFERROR('03-CFS'!C17/'02-IS'!C11,"-")</f>
        <v>-0.0158093532183326</v>
      </c>
      <c r="D18" s="50" t="n">
        <f aca="false">IFERROR('03-CFS'!D17/'02-IS'!D11,"-")</f>
        <v>-0.00928545207195146</v>
      </c>
      <c r="E18" s="50" t="n">
        <f aca="false">IFERROR((C18-B18)/ABS(B18),"-")</f>
        <v>0.164388396508419</v>
      </c>
      <c r="F18" s="50" t="n">
        <f aca="false">IFERROR((D18-C18)/ABS(C18),"-")</f>
        <v>0.412660850591662</v>
      </c>
      <c r="G18" s="51" t="s">
        <v>211</v>
      </c>
    </row>
    <row r="19" customFormat="false" ht="15.75" hidden="false" customHeight="true" outlineLevel="0" collapsed="false">
      <c r="G19" s="8"/>
    </row>
    <row r="22" customFormat="false" ht="15.75" hidden="false" customHeight="true" outlineLevel="0" collapsed="false">
      <c r="A22" s="5" t="s">
        <v>212</v>
      </c>
      <c r="B22" s="5" t="s">
        <v>2</v>
      </c>
      <c r="C22" s="5" t="s">
        <v>3</v>
      </c>
      <c r="D22" s="5" t="s">
        <v>4</v>
      </c>
    </row>
    <row r="23" customFormat="false" ht="15.75" hidden="false" customHeight="true" outlineLevel="0" collapsed="false">
      <c r="A23" s="1" t="s">
        <v>61</v>
      </c>
      <c r="B23" s="17" t="n">
        <f aca="false">'02-IS'!B4</f>
        <v>21608</v>
      </c>
      <c r="C23" s="17" t="n">
        <f aca="false">'02-IS'!C4</f>
        <v>21396</v>
      </c>
      <c r="D23" s="17" t="n">
        <f aca="false">'02-IS'!D4</f>
        <v>19572</v>
      </c>
    </row>
    <row r="24" customFormat="false" ht="15.75" hidden="false" customHeight="true" outlineLevel="0" collapsed="false">
      <c r="A24" s="1" t="s">
        <v>213</v>
      </c>
      <c r="B24" s="17" t="n">
        <f aca="false">'02-IS'!B5</f>
        <v>13418</v>
      </c>
      <c r="C24" s="17" t="n">
        <f aca="false">'02-IS'!C5</f>
        <v>13607</v>
      </c>
      <c r="D24" s="17" t="n">
        <f aca="false">'02-IS'!D5</f>
        <v>12257</v>
      </c>
    </row>
    <row r="25" customFormat="false" ht="15.75" hidden="false" customHeight="true" outlineLevel="0" collapsed="false">
      <c r="A25" s="1" t="s">
        <v>214</v>
      </c>
      <c r="B25" s="17" t="n">
        <f aca="false">'02-IS'!B6</f>
        <v>6431</v>
      </c>
      <c r="C25" s="17" t="n">
        <f aca="false">'02-IS'!C6</f>
        <v>6729</v>
      </c>
      <c r="D25" s="17" t="n">
        <f aca="false">'02-IS'!D6</f>
        <v>6251</v>
      </c>
    </row>
    <row r="26" customFormat="false" ht="15.75" hidden="false" customHeight="true" outlineLevel="0" collapsed="false">
      <c r="A26" s="1" t="s">
        <v>64</v>
      </c>
      <c r="B26" s="17" t="n">
        <f aca="false">'02-IS'!B7</f>
        <v>7248</v>
      </c>
      <c r="C26" s="17" t="n">
        <f aca="false">'02-IS'!C7</f>
        <v>7545</v>
      </c>
      <c r="D26" s="17" t="n">
        <f aca="false">'02-IS'!D7</f>
        <v>6586</v>
      </c>
    </row>
    <row r="27" customFormat="false" ht="15.75" hidden="false" customHeight="true" outlineLevel="0" collapsed="false">
      <c r="A27" s="1" t="s">
        <v>65</v>
      </c>
      <c r="B27" s="17" t="n">
        <f aca="false">'02-IS'!B8</f>
        <v>2427</v>
      </c>
      <c r="C27" s="17" t="n">
        <f aca="false">'02-IS'!C8</f>
        <v>2082</v>
      </c>
      <c r="D27" s="17" t="n">
        <f aca="false">'02-IS'!D8</f>
        <v>1692</v>
      </c>
    </row>
    <row r="30" customFormat="false" ht="15.75" hidden="false" customHeight="true" outlineLevel="0" collapsed="false">
      <c r="A30" s="5" t="s">
        <v>215</v>
      </c>
      <c r="B30" s="5" t="s">
        <v>2</v>
      </c>
      <c r="C30" s="5" t="s">
        <v>3</v>
      </c>
      <c r="D30" s="5" t="s">
        <v>4</v>
      </c>
    </row>
    <row r="31" customFormat="false" ht="15.75" hidden="false" customHeight="true" outlineLevel="0" collapsed="false">
      <c r="A31" s="1" t="s">
        <v>19</v>
      </c>
      <c r="B31" s="12" t="n">
        <f aca="false">'05-DASH'!B6</f>
        <v>0.435246109690142</v>
      </c>
      <c r="C31" s="12" t="n">
        <f aca="false">'05-DASH'!C6</f>
        <v>0.445601806783225</v>
      </c>
      <c r="D31" s="12" t="n">
        <f aca="false">'05-DASH'!D6</f>
        <v>0.427346736055626</v>
      </c>
    </row>
    <row r="32" customFormat="false" ht="15.75" hidden="false" customHeight="true" outlineLevel="0" collapsed="false">
      <c r="A32" s="1" t="s">
        <v>216</v>
      </c>
      <c r="B32" s="12" t="n">
        <f aca="false">'05-DASH'!B7</f>
        <v>0.129214909112209</v>
      </c>
      <c r="C32" s="12" t="n">
        <f aca="false">'05-DASH'!C7</f>
        <v>0.138370779954052</v>
      </c>
      <c r="D32" s="12" t="n">
        <f aca="false">'05-DASH'!D7</f>
        <v>0.0966766719212248</v>
      </c>
    </row>
    <row r="33" customFormat="false" ht="15.75" hidden="false" customHeight="true" outlineLevel="0" collapsed="false">
      <c r="A33" s="1" t="s">
        <v>217</v>
      </c>
      <c r="B33" s="12" t="n">
        <f aca="false">'05-DASH'!B5</f>
        <v>0.0989905695374583</v>
      </c>
      <c r="C33" s="12" t="n">
        <f aca="false">'05-DASH'!C5</f>
        <v>0.110976986877458</v>
      </c>
      <c r="D33" s="12" t="n">
        <f aca="false">'05-DASH'!D5</f>
        <v>0.0695113260921203</v>
      </c>
    </row>
    <row r="36" customFormat="false" ht="15.75" hidden="false" customHeight="true" outlineLevel="0" collapsed="false">
      <c r="A36" s="5" t="s">
        <v>215</v>
      </c>
      <c r="B36" s="5" t="s">
        <v>2</v>
      </c>
      <c r="C36" s="5" t="s">
        <v>3</v>
      </c>
      <c r="D36" s="5" t="s">
        <v>4</v>
      </c>
    </row>
    <row r="37" customFormat="false" ht="15.75" hidden="false" customHeight="true" outlineLevel="0" collapsed="false">
      <c r="A37" s="1" t="s">
        <v>218</v>
      </c>
      <c r="B37" s="17" t="n">
        <f aca="false">'05-DASH'!B16</f>
        <v>4872</v>
      </c>
      <c r="C37" s="17" t="n">
        <f aca="false">'05-DASH'!C16</f>
        <v>6617</v>
      </c>
      <c r="D37" s="17" t="n">
        <f aca="false">'05-DASH'!D16</f>
        <v>3268</v>
      </c>
    </row>
    <row r="38" customFormat="false" ht="15.75" hidden="false" customHeight="true" outlineLevel="0" collapsed="false">
      <c r="A38" s="1" t="s">
        <v>219</v>
      </c>
      <c r="B38" s="1" t="n">
        <f aca="false">'03-CFS'!B17</f>
        <v>-969</v>
      </c>
      <c r="C38" s="1" t="n">
        <f aca="false">'03-CFS'!C17</f>
        <v>-812</v>
      </c>
      <c r="D38" s="1" t="n">
        <f aca="false">'03-CFS'!D17</f>
        <v>-430</v>
      </c>
    </row>
    <row r="41" customFormat="false" ht="15.75" hidden="false" customHeight="true" outlineLevel="0" collapsed="false">
      <c r="A41" s="5" t="s">
        <v>187</v>
      </c>
      <c r="B41" s="5" t="s">
        <v>2</v>
      </c>
      <c r="C41" s="5" t="s">
        <v>3</v>
      </c>
      <c r="D41" s="5" t="s">
        <v>4</v>
      </c>
    </row>
    <row r="42" customFormat="false" ht="15.75" hidden="false" customHeight="true" outlineLevel="0" collapsed="false">
      <c r="A42" s="1" t="s">
        <v>220</v>
      </c>
      <c r="B42" s="12" t="n">
        <f aca="false">'05-DASH'!B11</f>
        <v>0.36203941730934</v>
      </c>
      <c r="C42" s="12" t="n">
        <f aca="false">'05-DASH'!C11</f>
        <v>0.395010395010395</v>
      </c>
      <c r="D42" s="12" t="n">
        <f aca="false">'05-DASH'!D11</f>
        <v>0.24362370392795</v>
      </c>
    </row>
    <row r="43" customFormat="false" ht="15.75" hidden="false" customHeight="true" outlineLevel="0" collapsed="false">
      <c r="A43" s="1" t="s">
        <v>221</v>
      </c>
      <c r="B43" s="56" t="n">
        <f aca="false">'05-DASH'!B13</f>
        <v>2.72277441659464</v>
      </c>
      <c r="C43" s="56" t="n">
        <f aca="false">'05-DASH'!C13</f>
        <v>2.39611063910129</v>
      </c>
      <c r="D43" s="56" t="n">
        <f aca="false">'05-DASH'!D13</f>
        <v>2.21105432519402</v>
      </c>
    </row>
    <row r="44" customFormat="false" ht="15.75" hidden="false" customHeight="true" outlineLevel="0" collapsed="false">
      <c r="A44" s="1" t="s">
        <v>222</v>
      </c>
      <c r="B44" s="56" t="n">
        <f aca="false">'05-DASH'!B12</f>
        <v>1.34889694771834</v>
      </c>
      <c r="C44" s="56" t="n">
        <f aca="false">'05-DASH'!C12</f>
        <v>1.11200225130153</v>
      </c>
      <c r="D44" s="56" t="n">
        <f aca="false">'05-DASH'!D12</f>
        <v>1.7781996872906</v>
      </c>
    </row>
    <row r="45" customFormat="false" ht="15.75" hidden="false" customHeight="true" outlineLevel="0" collapsed="false">
      <c r="A45" s="22" t="s">
        <v>223</v>
      </c>
    </row>
    <row r="48" customFormat="false" ht="15.75" hidden="false" customHeight="true" outlineLevel="0" collapsed="false">
      <c r="A48" s="5" t="s">
        <v>215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</row>
    <row r="49" customFormat="false" ht="15.75" hidden="false" customHeight="true" outlineLevel="0" collapsed="false">
      <c r="A49" s="1" t="s">
        <v>224</v>
      </c>
      <c r="B49" s="17" t="n">
        <f aca="false">'02-IS'!B24</f>
        <v>5070</v>
      </c>
      <c r="C49" s="17" t="n">
        <f aca="false">'02-IS'!C24</f>
        <v>5700</v>
      </c>
      <c r="D49" s="17" t="n">
        <f aca="false">'02-IS'!D24</f>
        <v>3219</v>
      </c>
      <c r="E49" s="17" t="n">
        <f aca="false">'02-IS'!J24</f>
        <v>5324.64011125</v>
      </c>
      <c r="F49" s="17" t="n">
        <f aca="false">'02-IS'!K24</f>
        <v>6123.1629852625</v>
      </c>
    </row>
    <row r="52" customFormat="false" ht="15.75" hidden="false" customHeight="true" outlineLevel="0" collapsed="false">
      <c r="A52" s="21" t="s">
        <v>225</v>
      </c>
    </row>
    <row r="53" customFormat="false" ht="15.75" hidden="false" customHeight="true" outlineLevel="0" collapsed="false">
      <c r="A53" s="22" t="s">
        <v>226</v>
      </c>
    </row>
    <row r="54" customFormat="false" ht="15.75" hidden="false" customHeight="true" outlineLevel="0" collapsed="false">
      <c r="A54" s="22" t="s">
        <v>227</v>
      </c>
    </row>
    <row r="55" customFormat="false" ht="15.75" hidden="false" customHeight="true" outlineLevel="0" collapsed="false">
      <c r="A55" s="22" t="s">
        <v>228</v>
      </c>
    </row>
    <row r="56" customFormat="false" ht="15.75" hidden="false" customHeight="true" outlineLevel="0" collapsed="false">
      <c r="A56" s="22" t="s">
        <v>229</v>
      </c>
    </row>
    <row r="57" customFormat="false" ht="15.75" hidden="false" customHeight="true" outlineLevel="0" collapsed="false">
      <c r="A57" s="22" t="s">
        <v>230</v>
      </c>
    </row>
    <row r="58" customFormat="false" ht="15.75" hidden="false" customHeight="true" outlineLevel="0" collapsed="false">
      <c r="A58" s="22" t="s">
        <v>231</v>
      </c>
    </row>
    <row r="59" customFormat="false" ht="15.75" hidden="false" customHeight="true" outlineLevel="0" collapsed="false">
      <c r="A59" s="22" t="s">
        <v>232</v>
      </c>
    </row>
    <row r="60" customFormat="false" ht="15.75" hidden="false" customHeight="true" outlineLevel="0" collapsed="false">
      <c r="A60" s="22" t="s">
        <v>233</v>
      </c>
    </row>
    <row r="61" customFormat="false" ht="15.75" hidden="false" customHeight="true" outlineLevel="0" collapsed="false">
      <c r="A61" s="22" t="s">
        <v>234</v>
      </c>
    </row>
    <row r="62" customFormat="false" ht="15.75" hidden="false" customHeight="true" outlineLevel="0" collapsed="false">
      <c r="A62" s="22" t="s">
        <v>235</v>
      </c>
    </row>
    <row r="63" customFormat="false" ht="15.75" hidden="false" customHeight="true" outlineLevel="0" collapsed="false">
      <c r="A63" s="22" t="s">
        <v>236</v>
      </c>
    </row>
    <row r="64" customFormat="false" ht="15.75" hidden="false" customHeight="true" outlineLevel="0" collapsed="false">
      <c r="A64" s="22" t="s">
        <v>237</v>
      </c>
    </row>
    <row r="65" customFormat="false" ht="15.75" hidden="false" customHeight="true" outlineLevel="0" collapsed="false">
      <c r="A65" s="22" t="s">
        <v>238</v>
      </c>
    </row>
    <row r="66" customFormat="false" ht="15.75" hidden="false" customHeight="true" outlineLevel="0" collapsed="false">
      <c r="A66" s="22" t="s">
        <v>239</v>
      </c>
    </row>
    <row r="67" customFormat="false" ht="15.75" hidden="false" customHeight="true" outlineLevel="0" collapsed="false">
      <c r="A67" s="22" t="s">
        <v>240</v>
      </c>
    </row>
    <row r="68" customFormat="false" ht="15.75" hidden="false" customHeight="true" outlineLevel="0" collapsed="false">
      <c r="A68" s="22" t="s">
        <v>241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6" activeCellId="0" sqref="E26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83"/>
    <col collapsed="false" customWidth="true" hidden="false" outlineLevel="0" max="9" min="2" style="1" width="14.83"/>
  </cols>
  <sheetData>
    <row r="1" customFormat="false" ht="18.75" hidden="false" customHeight="true" outlineLevel="0" collapsed="false">
      <c r="A1" s="57" t="s">
        <v>242</v>
      </c>
      <c r="B1" s="57"/>
      <c r="C1" s="57"/>
      <c r="D1" s="57"/>
      <c r="E1" s="57"/>
      <c r="F1" s="57"/>
      <c r="G1" s="57"/>
      <c r="H1" s="57"/>
      <c r="I1" s="57"/>
    </row>
    <row r="3" customFormat="false" ht="15.75" hidden="false" customHeight="true" outlineLevel="0" collapsed="false">
      <c r="A3" s="3" t="s">
        <v>55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243</v>
      </c>
      <c r="H3" s="4" t="s">
        <v>244</v>
      </c>
      <c r="I3" s="4" t="s">
        <v>245</v>
      </c>
      <c r="J3" s="58"/>
    </row>
    <row r="5" customFormat="false" ht="15.75" hidden="false" customHeight="true" outlineLevel="0" collapsed="false">
      <c r="A5" s="5" t="s">
        <v>246</v>
      </c>
    </row>
    <row r="6" customFormat="false" ht="15.75" hidden="false" customHeight="true" outlineLevel="0" collapsed="false">
      <c r="A6" s="8" t="s">
        <v>247</v>
      </c>
      <c r="B6" s="17" t="n">
        <f aca="false">'02-IS'!B11</f>
        <v>51217</v>
      </c>
      <c r="C6" s="17" t="n">
        <f aca="false">'02-IS'!C11</f>
        <v>51362</v>
      </c>
      <c r="D6" s="17" t="n">
        <f aca="false">'02-IS'!D11</f>
        <v>46309</v>
      </c>
      <c r="E6" s="17" t="n">
        <f aca="false">'02-IS'!J11</f>
        <v>48624.45</v>
      </c>
      <c r="F6" s="17" t="n">
        <f aca="false">'02-IS'!K11</f>
        <v>52028.1615</v>
      </c>
      <c r="G6" s="17" t="n">
        <f aca="false">F6*(1+G7)</f>
        <v>55149.85119</v>
      </c>
      <c r="H6" s="17" t="n">
        <f aca="false">G6*(1+H7)</f>
        <v>57907.3437495</v>
      </c>
      <c r="I6" s="17" t="n">
        <f aca="false">H6*(1+I7)</f>
        <v>60223.63749948</v>
      </c>
    </row>
    <row r="7" customFormat="false" ht="15.75" hidden="false" customHeight="true" outlineLevel="0" collapsed="false">
      <c r="A7" s="8" t="s">
        <v>248</v>
      </c>
      <c r="E7" s="59" t="n">
        <f aca="false">'01-Assumption'!E5</f>
        <v>0.05</v>
      </c>
      <c r="F7" s="59" t="n">
        <f aca="false">'01-Assumption'!F5</f>
        <v>0.07</v>
      </c>
      <c r="G7" s="60" t="n">
        <v>0.06</v>
      </c>
      <c r="H7" s="60" t="n">
        <v>0.05</v>
      </c>
      <c r="I7" s="60" t="n">
        <v>0.04</v>
      </c>
    </row>
    <row r="8" customFormat="false" ht="15.75" hidden="false" customHeight="true" outlineLevel="0" collapsed="false">
      <c r="A8" s="8"/>
    </row>
    <row r="9" customFormat="false" ht="15.75" hidden="false" customHeight="true" outlineLevel="0" collapsed="false">
      <c r="A9" s="5" t="s">
        <v>189</v>
      </c>
    </row>
    <row r="10" customFormat="false" ht="15.75" hidden="false" customHeight="true" outlineLevel="0" collapsed="false">
      <c r="A10" s="8" t="s">
        <v>19</v>
      </c>
      <c r="E10" s="59" t="n">
        <f aca="false">'01-Assumption'!E14</f>
        <v>0.445</v>
      </c>
      <c r="F10" s="59" t="n">
        <f aca="false">'01-Assumption'!F14</f>
        <v>0.45</v>
      </c>
      <c r="G10" s="60" t="n">
        <v>0.455</v>
      </c>
      <c r="H10" s="60" t="n">
        <v>0.46</v>
      </c>
      <c r="I10" s="60" t="n">
        <v>0.46</v>
      </c>
    </row>
    <row r="11" customFormat="false" ht="15.75" hidden="false" customHeight="true" outlineLevel="0" collapsed="false">
      <c r="A11" s="8" t="s">
        <v>249</v>
      </c>
      <c r="B11" s="59" t="n">
        <f aca="false">'02-IS'!B17/'02-IS'!B11</f>
        <v>0.115488997793701</v>
      </c>
      <c r="C11" s="59" t="n">
        <f aca="false">'02-IS'!C17/'02-IS'!C11</f>
        <v>0.122872941084849</v>
      </c>
      <c r="D11" s="59" t="n">
        <f aca="false">'02-IS'!D17/'02-IS'!D11</f>
        <v>0.0799412641171263</v>
      </c>
      <c r="E11" s="59" t="n">
        <f aca="false">'02-IS'!J17/'02-IS'!J11</f>
        <v>0.135</v>
      </c>
      <c r="F11" s="59" t="n">
        <f aca="false">'02-IS'!K17/'02-IS'!K11</f>
        <v>0.145</v>
      </c>
      <c r="G11" s="60" t="n">
        <v>0.135</v>
      </c>
      <c r="H11" s="60" t="n">
        <v>0.14</v>
      </c>
      <c r="I11" s="60" t="n">
        <v>0.14</v>
      </c>
    </row>
    <row r="12" customFormat="false" ht="15.75" hidden="false" customHeight="true" outlineLevel="0" collapsed="false">
      <c r="A12" s="8" t="s">
        <v>74</v>
      </c>
      <c r="B12" s="17" t="n">
        <f aca="false">'02-IS'!B17</f>
        <v>5915</v>
      </c>
      <c r="C12" s="17" t="n">
        <f aca="false">'02-IS'!C17</f>
        <v>6311</v>
      </c>
      <c r="D12" s="17" t="n">
        <f aca="false">'02-IS'!D17</f>
        <v>3702</v>
      </c>
      <c r="E12" s="17" t="n">
        <f aca="false">'02-IS'!J17</f>
        <v>6564.30075</v>
      </c>
      <c r="F12" s="17" t="n">
        <f aca="false">'02-IS'!K17</f>
        <v>7544.0834175</v>
      </c>
      <c r="G12" s="17" t="n">
        <f aca="false">G6*G11</f>
        <v>7445.22991065</v>
      </c>
      <c r="H12" s="17" t="n">
        <f aca="false">H6*H11</f>
        <v>8107.02812493</v>
      </c>
      <c r="I12" s="17" t="n">
        <f aca="false">I6*I11</f>
        <v>8431.3092499272</v>
      </c>
    </row>
    <row r="13" customFormat="false" ht="15.75" hidden="false" customHeight="true" outlineLevel="0" collapsed="false">
      <c r="A13" s="8" t="s">
        <v>250</v>
      </c>
      <c r="E13" s="59" t="n">
        <f aca="false">'01-Assumption'!E18</f>
        <v>0.185</v>
      </c>
      <c r="F13" s="59" t="n">
        <f aca="false">'01-Assumption'!F18</f>
        <v>0.185</v>
      </c>
      <c r="G13" s="59" t="n">
        <f aca="false">F13</f>
        <v>0.185</v>
      </c>
      <c r="H13" s="59" t="n">
        <f aca="false">G13</f>
        <v>0.185</v>
      </c>
      <c r="I13" s="59" t="n">
        <f aca="false">H13</f>
        <v>0.185</v>
      </c>
    </row>
    <row r="14" customFormat="false" ht="15.75" hidden="false" customHeight="true" outlineLevel="0" collapsed="false">
      <c r="A14" s="8" t="s">
        <v>251</v>
      </c>
      <c r="B14" s="17" t="n">
        <f aca="false">B12*(1-E13)</f>
        <v>4820.725</v>
      </c>
      <c r="C14" s="17" t="n">
        <f aca="false">C12*(1-E13)</f>
        <v>5143.465</v>
      </c>
      <c r="D14" s="17" t="n">
        <f aca="false">D12*(1-E13)</f>
        <v>3017.13</v>
      </c>
      <c r="E14" s="17" t="n">
        <f aca="false">E12*(1-E13)</f>
        <v>5349.90511125</v>
      </c>
      <c r="F14" s="17" t="n">
        <f aca="false">F12*(1-F13)</f>
        <v>6148.4279852625</v>
      </c>
      <c r="G14" s="17" t="n">
        <f aca="false">G12*(1-G13)</f>
        <v>6067.86237717975</v>
      </c>
      <c r="H14" s="17" t="n">
        <f aca="false">H12*(1-H13)</f>
        <v>6607.22792181795</v>
      </c>
      <c r="I14" s="17" t="n">
        <f aca="false">I12*(1-I13)</f>
        <v>6871.51703869067</v>
      </c>
    </row>
    <row r="15" customFormat="false" ht="15.75" hidden="false" customHeight="true" outlineLevel="0" collapsed="false">
      <c r="A15" s="8"/>
    </row>
    <row r="16" customFormat="false" ht="15.75" hidden="false" customHeight="true" outlineLevel="0" collapsed="false">
      <c r="A16" s="8" t="s">
        <v>252</v>
      </c>
      <c r="B16" s="17" t="n">
        <f aca="false">'02-IS'!B18</f>
        <v>703</v>
      </c>
      <c r="C16" s="17" t="n">
        <f aca="false">'02-IS'!C18</f>
        <v>796</v>
      </c>
      <c r="D16" s="17" t="n">
        <f aca="false">'02-IS'!D18</f>
        <v>775</v>
      </c>
      <c r="E16" s="17" t="n">
        <f aca="false">'02-IS'!J18</f>
        <v>1555.9824</v>
      </c>
      <c r="F16" s="17" t="n">
        <f aca="false">'02-IS'!K18</f>
        <v>1664.901168</v>
      </c>
      <c r="G16" s="17" t="n">
        <f aca="false">G6*3.2%</f>
        <v>1764.79523808</v>
      </c>
      <c r="H16" s="17" t="n">
        <f aca="false">H6*3.2%</f>
        <v>1853.034999984</v>
      </c>
      <c r="I16" s="17" t="n">
        <f aca="false">I6*3.2%</f>
        <v>1927.15639998336</v>
      </c>
    </row>
    <row r="17" customFormat="false" ht="15.75" hidden="false" customHeight="true" outlineLevel="0" collapsed="false">
      <c r="A17" s="8" t="s">
        <v>253</v>
      </c>
      <c r="B17" s="17" t="n">
        <f aca="false">'03-CFS'!B17</f>
        <v>-969</v>
      </c>
      <c r="C17" s="17" t="n">
        <f aca="false">'03-CFS'!C17</f>
        <v>-812</v>
      </c>
      <c r="D17" s="17" t="n">
        <f aca="false">'03-CFS'!D17</f>
        <v>-430</v>
      </c>
      <c r="E17" s="17" t="n">
        <f aca="false">'03-CFS'!E17</f>
        <v>-1701.85575</v>
      </c>
      <c r="F17" s="17" t="n">
        <f aca="false">'03-CFS'!F17</f>
        <v>-1768.957491</v>
      </c>
      <c r="G17" s="61" t="n">
        <f aca="false">G6*3.3%*-1</f>
        <v>-1819.94508927</v>
      </c>
      <c r="H17" s="61" t="n">
        <f aca="false">H6*3.2%*-1</f>
        <v>-1853.034999984</v>
      </c>
      <c r="I17" s="61" t="n">
        <f aca="false">I6*3.1%*-1</f>
        <v>-1866.93276248388</v>
      </c>
    </row>
    <row r="18" customFormat="false" ht="15.75" hidden="false" customHeight="true" outlineLevel="0" collapsed="false">
      <c r="A18" s="8" t="s">
        <v>254</v>
      </c>
      <c r="B18" s="17" t="n">
        <f aca="false">'04-BS'!B11-'04-BS'!B29</f>
        <v>15946</v>
      </c>
      <c r="C18" s="17" t="n">
        <f aca="false">'04-BS'!C11-'04-BS'!C29</f>
        <v>14789</v>
      </c>
      <c r="D18" s="17" t="n">
        <f aca="false">'04-BS'!D11-'04-BS'!D29</f>
        <v>12796</v>
      </c>
      <c r="E18" s="17" t="n">
        <f aca="false">E6*18%</f>
        <v>8752.401</v>
      </c>
      <c r="F18" s="17" t="n">
        <f aca="false">F6*18%</f>
        <v>9365.06907</v>
      </c>
      <c r="G18" s="17" t="n">
        <f aca="false">G6*18%</f>
        <v>9926.9732142</v>
      </c>
      <c r="H18" s="17" t="n">
        <f aca="false">H6*18%</f>
        <v>10423.32187491</v>
      </c>
      <c r="I18" s="17" t="n">
        <f aca="false">I6*18%</f>
        <v>10840.2547499064</v>
      </c>
    </row>
    <row r="19" customFormat="false" ht="15.75" hidden="false" customHeight="true" outlineLevel="0" collapsed="false">
      <c r="A19" s="8" t="s">
        <v>255</v>
      </c>
      <c r="B19" s="17" t="n">
        <f aca="false">B18-C18</f>
        <v>1157</v>
      </c>
      <c r="C19" s="17" t="n">
        <f aca="false">C18-B18</f>
        <v>-1157</v>
      </c>
      <c r="D19" s="17" t="n">
        <f aca="false">D18-C18</f>
        <v>-1993</v>
      </c>
      <c r="E19" s="17" t="n">
        <f aca="false">E18-D18</f>
        <v>-4043.599</v>
      </c>
      <c r="F19" s="17" t="n">
        <f aca="false">F18-E18</f>
        <v>612.668070000002</v>
      </c>
      <c r="G19" s="17" t="n">
        <f aca="false">G18-F18</f>
        <v>561.904144200002</v>
      </c>
      <c r="H19" s="17" t="n">
        <f aca="false">H18-G18</f>
        <v>496.34866071</v>
      </c>
      <c r="I19" s="17" t="n">
        <f aca="false">I18-H18</f>
        <v>416.932874996401</v>
      </c>
    </row>
    <row r="20" customFormat="false" ht="15.75" hidden="false" customHeight="true" outlineLevel="0" collapsed="false">
      <c r="A20" s="8"/>
    </row>
    <row r="21" customFormat="false" ht="15.75" hidden="false" customHeight="true" outlineLevel="0" collapsed="false">
      <c r="A21" s="5" t="s">
        <v>256</v>
      </c>
    </row>
    <row r="22" customFormat="false" ht="15.75" hidden="false" customHeight="true" outlineLevel="0" collapsed="false">
      <c r="A22" s="8" t="s">
        <v>257</v>
      </c>
      <c r="E22" s="17" t="n">
        <f aca="false">E14+E16+E17-E19</f>
        <v>9247.63076125</v>
      </c>
      <c r="F22" s="17" t="n">
        <f aca="false">F14+F16+F17-F19</f>
        <v>5431.7035922625</v>
      </c>
      <c r="G22" s="17" t="n">
        <f aca="false">G14+G16+G17-G19</f>
        <v>5450.80838178975</v>
      </c>
      <c r="H22" s="17" t="n">
        <f aca="false">H14+H16+H17-H19</f>
        <v>6110.87926110795</v>
      </c>
      <c r="I22" s="17" t="n">
        <f aca="false">I14+I16+I17-I19</f>
        <v>6514.80780119375</v>
      </c>
    </row>
    <row r="23" customFormat="false" ht="15.75" hidden="false" customHeight="true" outlineLevel="0" collapsed="false">
      <c r="A23" s="8" t="s">
        <v>258</v>
      </c>
      <c r="E23" s="59" t="n">
        <f aca="false">E22/E6</f>
        <v>0.190184788953911</v>
      </c>
      <c r="F23" s="59" t="n">
        <f aca="false">F22/F6</f>
        <v>0.10439929906542</v>
      </c>
      <c r="G23" s="59" t="n">
        <f aca="false">G22/G6</f>
        <v>0.098836320754717</v>
      </c>
      <c r="H23" s="59" t="n">
        <f aca="false">H22/H6</f>
        <v>0.105528571428571</v>
      </c>
      <c r="I23" s="59" t="n">
        <f aca="false">I22/I6</f>
        <v>0.108176923076923</v>
      </c>
    </row>
    <row r="24" customFormat="false" ht="15.75" hidden="false" customHeight="true" outlineLevel="0" collapsed="false">
      <c r="A24" s="8"/>
    </row>
    <row r="25" customFormat="false" ht="15.75" hidden="false" customHeight="true" outlineLevel="0" collapsed="false">
      <c r="A25" s="5" t="s">
        <v>259</v>
      </c>
    </row>
    <row r="26" customFormat="false" ht="15.75" hidden="false" customHeight="true" outlineLevel="0" collapsed="false">
      <c r="A26" s="8" t="s">
        <v>260</v>
      </c>
      <c r="E26" s="59" t="n">
        <f aca="false">'07-WACC'!B25</f>
        <v>0.107556023746599</v>
      </c>
      <c r="F26" s="59" t="n">
        <f aca="false">E26</f>
        <v>0.107556023746599</v>
      </c>
      <c r="G26" s="59" t="n">
        <f aca="false">F26</f>
        <v>0.107556023746599</v>
      </c>
      <c r="H26" s="59" t="n">
        <f aca="false">G26</f>
        <v>0.107556023746599</v>
      </c>
      <c r="I26" s="59" t="n">
        <f aca="false">H26</f>
        <v>0.107556023746599</v>
      </c>
    </row>
    <row r="27" customFormat="false" ht="15.75" hidden="false" customHeight="true" outlineLevel="0" collapsed="false">
      <c r="A27" s="8" t="s">
        <v>261</v>
      </c>
      <c r="E27" s="1" t="n">
        <v>1</v>
      </c>
      <c r="F27" s="1" t="n">
        <v>2</v>
      </c>
      <c r="G27" s="1" t="n">
        <v>3</v>
      </c>
      <c r="H27" s="1" t="n">
        <v>4</v>
      </c>
      <c r="I27" s="1" t="n">
        <v>5</v>
      </c>
    </row>
    <row r="28" customFormat="false" ht="15.75" hidden="false" customHeight="true" outlineLevel="0" collapsed="false">
      <c r="A28" s="8" t="s">
        <v>262</v>
      </c>
      <c r="E28" s="59" t="n">
        <f aca="false">1/(1+E26)^E27</f>
        <v>0.902888863912489</v>
      </c>
      <c r="F28" s="59" t="n">
        <f aca="false">1/(1+F26)^F27</f>
        <v>0.815208300577185</v>
      </c>
      <c r="G28" s="59" t="n">
        <f aca="false">1/(1+G26)^G27</f>
        <v>0.736042496360165</v>
      </c>
      <c r="H28" s="59" t="n">
        <f aca="false">1/(1+H26)^H27</f>
        <v>0.664564573329942</v>
      </c>
      <c r="I28" s="59" t="n">
        <f aca="false">1/(1+I26)^I27</f>
        <v>0.600027952610359</v>
      </c>
    </row>
    <row r="29" customFormat="false" ht="15.75" hidden="false" customHeight="true" outlineLevel="0" collapsed="false">
      <c r="A29" s="8" t="s">
        <v>263</v>
      </c>
      <c r="E29" s="17" t="n">
        <f aca="false">E22*E28</f>
        <v>8349.5828319072</v>
      </c>
      <c r="F29" s="17" t="n">
        <f aca="false">F22*F28</f>
        <v>4427.9698546873</v>
      </c>
      <c r="G29" s="17" t="n">
        <f aca="false">G22*G28</f>
        <v>4012.02660851344</v>
      </c>
      <c r="H29" s="17" t="n">
        <f aca="false">H22*H28</f>
        <v>4061.07386882899</v>
      </c>
      <c r="I29" s="17" t="n">
        <f aca="false">I22*I28</f>
        <v>3909.06678660028</v>
      </c>
    </row>
    <row r="30" customFormat="false" ht="15.75" hidden="false" customHeight="true" outlineLevel="0" collapsed="false">
      <c r="A30" s="8" t="s">
        <v>264</v>
      </c>
      <c r="E30" s="17" t="n">
        <f aca="false">SUM(E29:I29)</f>
        <v>24759.7199505372</v>
      </c>
    </row>
    <row r="31" customFormat="false" ht="15.75" hidden="false" customHeight="true" outlineLevel="0" collapsed="false">
      <c r="A31" s="8"/>
    </row>
    <row r="32" customFormat="false" ht="15.75" hidden="false" customHeight="true" outlineLevel="0" collapsed="false">
      <c r="A32" s="5" t="s">
        <v>265</v>
      </c>
    </row>
    <row r="33" customFormat="false" ht="15.75" hidden="false" customHeight="true" outlineLevel="0" collapsed="false">
      <c r="A33" s="8" t="s">
        <v>266</v>
      </c>
      <c r="E33" s="59" t="n">
        <v>0.025</v>
      </c>
    </row>
    <row r="34" customFormat="false" ht="15.75" hidden="false" customHeight="true" outlineLevel="0" collapsed="false">
      <c r="A34" s="8" t="s">
        <v>267</v>
      </c>
      <c r="E34" s="17" t="n">
        <f aca="false">I22*(1+E33)/(E26-E33)</f>
        <v>80886.6233276976</v>
      </c>
    </row>
    <row r="35" customFormat="false" ht="15.75" hidden="false" customHeight="true" outlineLevel="0" collapsed="false">
      <c r="A35" s="8" t="s">
        <v>268</v>
      </c>
      <c r="E35" s="17" t="n">
        <f aca="false">E34*I28</f>
        <v>48534.2349888837</v>
      </c>
    </row>
    <row r="36" customFormat="false" ht="15.75" hidden="false" customHeight="true" outlineLevel="0" collapsed="false">
      <c r="A36" s="8" t="s">
        <v>269</v>
      </c>
      <c r="E36" s="59" t="n">
        <f aca="false">E35/(E30+E35)</f>
        <v>0.662186056530833</v>
      </c>
    </row>
    <row r="37" customFormat="false" ht="15.75" hidden="false" customHeight="true" outlineLevel="0" collapsed="false">
      <c r="A37" s="8"/>
    </row>
    <row r="38" customFormat="false" ht="15.75" hidden="false" customHeight="true" outlineLevel="0" collapsed="false">
      <c r="A38" s="5" t="s">
        <v>270</v>
      </c>
    </row>
    <row r="39" customFormat="false" ht="15.75" hidden="false" customHeight="true" outlineLevel="0" collapsed="false">
      <c r="A39" s="8" t="s">
        <v>271</v>
      </c>
      <c r="E39" s="17" t="n">
        <f aca="false">E30+E35</f>
        <v>73293.9549394209</v>
      </c>
    </row>
    <row r="40" customFormat="false" ht="15.75" hidden="false" customHeight="true" outlineLevel="0" collapsed="false">
      <c r="A40" s="8" t="s">
        <v>272</v>
      </c>
      <c r="E40" s="17" t="n">
        <f aca="false">'04-BS'!D32-'04-BS'!D6</f>
        <v>497</v>
      </c>
    </row>
    <row r="41" customFormat="false" ht="15.75" hidden="false" customHeight="true" outlineLevel="0" collapsed="false">
      <c r="A41" s="8" t="s">
        <v>273</v>
      </c>
      <c r="E41" s="17" t="n">
        <f aca="false">E39-E40</f>
        <v>72796.9549394209</v>
      </c>
    </row>
    <row r="42" customFormat="false" ht="15.75" hidden="false" customHeight="true" outlineLevel="0" collapsed="false">
      <c r="A42" s="8" t="s">
        <v>274</v>
      </c>
      <c r="E42" s="61" t="n">
        <v>1530</v>
      </c>
    </row>
    <row r="43" customFormat="false" ht="15.75" hidden="false" customHeight="true" outlineLevel="0" collapsed="false">
      <c r="A43" s="62" t="s">
        <v>275</v>
      </c>
      <c r="E43" s="17" t="n">
        <f aca="false">E41/E42</f>
        <v>47.5797091107326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83"/>
    <col collapsed="false" customWidth="true" hidden="false" outlineLevel="0" max="2" min="2" style="1" width="15.83"/>
    <col collapsed="false" customWidth="true" hidden="false" outlineLevel="0" max="3" min="3" style="1" width="50.83"/>
  </cols>
  <sheetData>
    <row r="1" customFormat="false" ht="18" hidden="false" customHeight="true" outlineLevel="0" collapsed="false">
      <c r="A1" s="2" t="s">
        <v>276</v>
      </c>
      <c r="B1" s="2"/>
      <c r="C1" s="2"/>
    </row>
    <row r="2" customFormat="false" ht="15.75" hidden="false" customHeight="true" outlineLevel="0" collapsed="false">
      <c r="A2" s="63" t="s">
        <v>277</v>
      </c>
      <c r="B2" s="63"/>
      <c r="C2" s="63"/>
    </row>
    <row r="3" customFormat="false" ht="15.75" hidden="false" customHeight="true" outlineLevel="0" collapsed="false">
      <c r="A3" s="8"/>
      <c r="B3" s="8"/>
      <c r="C3" s="8"/>
    </row>
    <row r="4" s="27" customFormat="true" ht="15.75" hidden="false" customHeight="true" outlineLevel="0" collapsed="false">
      <c r="A4" s="5" t="s">
        <v>278</v>
      </c>
      <c r="B4" s="24"/>
      <c r="C4" s="24"/>
    </row>
    <row r="5" customFormat="false" ht="15.75" hidden="false" customHeight="true" outlineLevel="0" collapsed="false">
      <c r="A5" s="8" t="s">
        <v>279</v>
      </c>
      <c r="B5" s="64" t="n">
        <v>0.044</v>
      </c>
      <c r="C5" s="65" t="s">
        <v>280</v>
      </c>
    </row>
    <row r="6" customFormat="false" ht="15.75" hidden="false" customHeight="true" outlineLevel="0" collapsed="false">
      <c r="A6" s="8" t="s">
        <v>281</v>
      </c>
      <c r="B6" s="64" t="n">
        <v>0.055</v>
      </c>
      <c r="C6" s="65" t="s">
        <v>282</v>
      </c>
    </row>
    <row r="7" customFormat="false" ht="15.75" hidden="false" customHeight="true" outlineLevel="0" collapsed="false">
      <c r="A7" s="8" t="s">
        <v>283</v>
      </c>
      <c r="B7" s="8" t="n">
        <v>1.32</v>
      </c>
      <c r="C7" s="65" t="s">
        <v>284</v>
      </c>
    </row>
    <row r="8" customFormat="false" ht="15.75" hidden="false" customHeight="true" outlineLevel="0" collapsed="false">
      <c r="A8" s="8"/>
      <c r="B8" s="8"/>
      <c r="C8" s="65"/>
    </row>
    <row r="9" s="27" customFormat="true" ht="15.75" hidden="false" customHeight="true" outlineLevel="0" collapsed="false">
      <c r="A9" s="5" t="s">
        <v>285</v>
      </c>
      <c r="B9" s="24"/>
      <c r="C9" s="66"/>
    </row>
    <row r="10" customFormat="false" ht="15.75" hidden="false" customHeight="true" outlineLevel="0" collapsed="false">
      <c r="A10" s="8" t="s">
        <v>286</v>
      </c>
      <c r="B10" s="64" t="n">
        <f aca="false">B5+B7*B6</f>
        <v>0.1166</v>
      </c>
      <c r="C10" s="65" t="s">
        <v>287</v>
      </c>
    </row>
    <row r="11" customFormat="false" ht="15.75" hidden="false" customHeight="true" outlineLevel="0" collapsed="false">
      <c r="A11" s="8"/>
      <c r="B11" s="8"/>
      <c r="C11" s="65"/>
    </row>
    <row r="12" s="27" customFormat="true" ht="15.75" hidden="false" customHeight="true" outlineLevel="0" collapsed="false">
      <c r="A12" s="5" t="s">
        <v>288</v>
      </c>
      <c r="B12" s="24"/>
      <c r="C12" s="66"/>
    </row>
    <row r="13" customFormat="false" ht="15.75" hidden="false" customHeight="true" outlineLevel="0" collapsed="false">
      <c r="A13" s="8" t="s">
        <v>289</v>
      </c>
      <c r="B13" s="64" t="n">
        <v>0.036</v>
      </c>
      <c r="C13" s="65" t="s">
        <v>290</v>
      </c>
    </row>
    <row r="14" customFormat="false" ht="15.75" hidden="false" customHeight="true" outlineLevel="0" collapsed="false">
      <c r="A14" s="8" t="s">
        <v>250</v>
      </c>
      <c r="B14" s="64" t="n">
        <f aca="false">'01-Assumption'!E18</f>
        <v>0.185</v>
      </c>
      <c r="C14" s="65" t="s">
        <v>291</v>
      </c>
    </row>
    <row r="15" customFormat="false" ht="15.75" hidden="false" customHeight="true" outlineLevel="0" collapsed="false">
      <c r="A15" s="8" t="s">
        <v>292</v>
      </c>
      <c r="B15" s="64" t="n">
        <f aca="false">B13*(1-B14)</f>
        <v>0.02934</v>
      </c>
      <c r="C15" s="65" t="s">
        <v>293</v>
      </c>
    </row>
    <row r="16" customFormat="false" ht="15.75" hidden="false" customHeight="true" outlineLevel="0" collapsed="false">
      <c r="A16" s="8"/>
      <c r="B16" s="8"/>
      <c r="C16" s="65"/>
    </row>
    <row r="17" s="27" customFormat="true" ht="15.75" hidden="false" customHeight="true" outlineLevel="0" collapsed="false">
      <c r="A17" s="5" t="s">
        <v>294</v>
      </c>
      <c r="B17" s="24"/>
      <c r="C17" s="66"/>
    </row>
    <row r="18" customFormat="false" ht="15.75" hidden="false" customHeight="true" outlineLevel="0" collapsed="false">
      <c r="A18" s="8" t="s">
        <v>295</v>
      </c>
      <c r="B18" s="67" t="n">
        <v>68850</v>
      </c>
      <c r="C18" s="65" t="s">
        <v>296</v>
      </c>
    </row>
    <row r="19" customFormat="false" ht="15.75" hidden="false" customHeight="true" outlineLevel="0" collapsed="false">
      <c r="A19" s="8" t="s">
        <v>297</v>
      </c>
      <c r="B19" s="67" t="n">
        <f aca="false">'04-BS'!D32</f>
        <v>7961</v>
      </c>
      <c r="C19" s="65" t="s">
        <v>298</v>
      </c>
    </row>
    <row r="20" customFormat="false" ht="15.75" hidden="false" customHeight="true" outlineLevel="0" collapsed="false">
      <c r="A20" s="8" t="s">
        <v>299</v>
      </c>
      <c r="B20" s="67" t="n">
        <f aca="false">B18+B19</f>
        <v>76811</v>
      </c>
      <c r="C20" s="65" t="s">
        <v>300</v>
      </c>
    </row>
    <row r="21" customFormat="false" ht="15.75" hidden="false" customHeight="true" outlineLevel="0" collapsed="false">
      <c r="A21" s="8" t="s">
        <v>301</v>
      </c>
      <c r="B21" s="64" t="n">
        <f aca="false">B18/B20</f>
        <v>0.896355990678418</v>
      </c>
      <c r="C21" s="65" t="s">
        <v>302</v>
      </c>
    </row>
    <row r="22" customFormat="false" ht="15.75" hidden="false" customHeight="true" outlineLevel="0" collapsed="false">
      <c r="A22" s="8" t="s">
        <v>303</v>
      </c>
      <c r="B22" s="64" t="n">
        <f aca="false">B19/B20</f>
        <v>0.103644009321582</v>
      </c>
      <c r="C22" s="65" t="s">
        <v>304</v>
      </c>
    </row>
    <row r="23" customFormat="false" ht="15.75" hidden="false" customHeight="true" outlineLevel="0" collapsed="false">
      <c r="A23" s="8"/>
      <c r="B23" s="8"/>
      <c r="C23" s="65"/>
    </row>
    <row r="24" s="27" customFormat="true" ht="15.75" hidden="false" customHeight="true" outlineLevel="0" collapsed="false">
      <c r="A24" s="5" t="s">
        <v>260</v>
      </c>
      <c r="B24" s="24"/>
      <c r="C24" s="66"/>
    </row>
    <row r="25" customFormat="false" ht="15.75" hidden="false" customHeight="true" outlineLevel="0" collapsed="false">
      <c r="A25" s="8" t="s">
        <v>260</v>
      </c>
      <c r="B25" s="64" t="n">
        <f aca="false">B10*B21+B15*B22</f>
        <v>0.107556023746599</v>
      </c>
      <c r="C25" s="65" t="s">
        <v>305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40.83"/>
    <col collapsed="false" customWidth="true" hidden="false" outlineLevel="0" max="2" min="2" style="1" width="19"/>
    <col collapsed="false" customWidth="true" hidden="false" outlineLevel="0" max="3" min="3" style="1" width="80.5"/>
  </cols>
  <sheetData>
    <row r="1" customFormat="false" ht="18" hidden="false" customHeight="true" outlineLevel="0" collapsed="false">
      <c r="A1" s="2" t="s">
        <v>306</v>
      </c>
      <c r="B1" s="2"/>
      <c r="C1" s="2"/>
    </row>
    <row r="3" customFormat="false" ht="15.75" hidden="false" customHeight="true" outlineLevel="0" collapsed="false">
      <c r="A3" s="68" t="s">
        <v>1</v>
      </c>
      <c r="B3" s="68" t="s">
        <v>307</v>
      </c>
      <c r="C3" s="68" t="s">
        <v>308</v>
      </c>
    </row>
    <row r="4" customFormat="false" ht="15.75" hidden="false" customHeight="true" outlineLevel="0" collapsed="false">
      <c r="A4" s="5" t="s">
        <v>309</v>
      </c>
      <c r="B4" s="8"/>
      <c r="C4" s="8"/>
    </row>
    <row r="5" customFormat="false" ht="15.75" hidden="false" customHeight="true" outlineLevel="0" collapsed="false">
      <c r="A5" s="8" t="s">
        <v>310</v>
      </c>
      <c r="B5" s="64" t="n">
        <f aca="false">'01-Assumption'!E5</f>
        <v>0.05</v>
      </c>
      <c r="C5" s="65" t="s">
        <v>311</v>
      </c>
    </row>
    <row r="6" customFormat="false" ht="15.75" hidden="false" customHeight="true" outlineLevel="0" collapsed="false">
      <c r="A6" s="8" t="s">
        <v>312</v>
      </c>
      <c r="B6" s="64" t="n">
        <f aca="false">'01-Assumption'!F5</f>
        <v>0.07</v>
      </c>
      <c r="C6" s="65" t="s">
        <v>313</v>
      </c>
    </row>
    <row r="7" customFormat="false" ht="15.75" hidden="false" customHeight="true" outlineLevel="0" collapsed="false">
      <c r="A7" s="8"/>
      <c r="B7" s="64"/>
      <c r="C7" s="65"/>
    </row>
    <row r="8" customFormat="false" ht="15.75" hidden="false" customHeight="true" outlineLevel="0" collapsed="false">
      <c r="A8" s="5" t="s">
        <v>314</v>
      </c>
      <c r="B8" s="64"/>
      <c r="C8" s="65"/>
    </row>
    <row r="9" customFormat="false" ht="15.75" hidden="false" customHeight="true" outlineLevel="0" collapsed="false">
      <c r="A9" s="8" t="s">
        <v>315</v>
      </c>
      <c r="B9" s="64" t="n">
        <f aca="false">'01-Assumption'!E14</f>
        <v>0.445</v>
      </c>
      <c r="C9" s="65" t="s">
        <v>316</v>
      </c>
    </row>
    <row r="10" customFormat="false" ht="15.75" hidden="false" customHeight="true" outlineLevel="0" collapsed="false">
      <c r="A10" s="8" t="s">
        <v>317</v>
      </c>
      <c r="B10" s="64" t="n">
        <f aca="false">'01-Assumption'!F14</f>
        <v>0.45</v>
      </c>
      <c r="C10" s="65" t="s">
        <v>318</v>
      </c>
    </row>
    <row r="11" customFormat="false" ht="15.75" hidden="false" customHeight="true" outlineLevel="0" collapsed="false">
      <c r="A11" s="8" t="s">
        <v>319</v>
      </c>
      <c r="B11" s="62" t="s">
        <v>320</v>
      </c>
      <c r="C11" s="65" t="s">
        <v>321</v>
      </c>
    </row>
    <row r="12" customFormat="false" ht="15.75" hidden="false" customHeight="true" outlineLevel="0" collapsed="false">
      <c r="A12" s="8" t="s">
        <v>25</v>
      </c>
      <c r="B12" s="64" t="n">
        <f aca="false">'01-Assumption'!E18</f>
        <v>0.185</v>
      </c>
      <c r="C12" s="65" t="s">
        <v>322</v>
      </c>
    </row>
    <row r="13" customFormat="false" ht="15.75" hidden="false" customHeight="true" outlineLevel="0" collapsed="false">
      <c r="A13" s="8"/>
      <c r="B13" s="8"/>
      <c r="C13" s="65"/>
    </row>
    <row r="14" customFormat="false" ht="15.75" hidden="false" customHeight="true" outlineLevel="0" collapsed="false">
      <c r="A14" s="5" t="s">
        <v>205</v>
      </c>
      <c r="B14" s="8"/>
      <c r="C14" s="65"/>
    </row>
    <row r="15" customFormat="false" ht="15.75" hidden="false" customHeight="true" outlineLevel="0" collapsed="false">
      <c r="A15" s="8" t="s">
        <v>323</v>
      </c>
      <c r="B15" s="64" t="n">
        <f aca="false">'01-Assumption'!E21</f>
        <v>0.032</v>
      </c>
      <c r="C15" s="65" t="s">
        <v>324</v>
      </c>
    </row>
    <row r="16" customFormat="false" ht="15.75" hidden="false" customHeight="true" outlineLevel="0" collapsed="false">
      <c r="A16" s="8" t="s">
        <v>325</v>
      </c>
      <c r="B16" s="64" t="n">
        <f aca="false">'01-Assumption'!E22</f>
        <v>0.035</v>
      </c>
      <c r="C16" s="65" t="s">
        <v>326</v>
      </c>
    </row>
    <row r="17" customFormat="false" ht="15.75" hidden="false" customHeight="true" outlineLevel="0" collapsed="false">
      <c r="A17" s="8" t="s">
        <v>327</v>
      </c>
      <c r="B17" s="64" t="n">
        <v>0.18</v>
      </c>
      <c r="C17" s="65" t="s">
        <v>328</v>
      </c>
    </row>
    <row r="18" customFormat="false" ht="15.75" hidden="false" customHeight="true" outlineLevel="0" collapsed="false">
      <c r="A18" s="8"/>
      <c r="B18" s="8"/>
      <c r="C18" s="65"/>
    </row>
    <row r="19" customFormat="false" ht="15.75" hidden="false" customHeight="true" outlineLevel="0" collapsed="false">
      <c r="A19" s="5" t="s">
        <v>260</v>
      </c>
      <c r="B19" s="8"/>
      <c r="C19" s="65"/>
    </row>
    <row r="20" customFormat="false" ht="15.75" hidden="false" customHeight="true" outlineLevel="0" collapsed="false">
      <c r="A20" s="8" t="s">
        <v>279</v>
      </c>
      <c r="B20" s="64" t="n">
        <f aca="false">'07-WACC'!B5</f>
        <v>0.044</v>
      </c>
      <c r="C20" s="65" t="s">
        <v>329</v>
      </c>
    </row>
    <row r="21" customFormat="false" ht="15.75" hidden="false" customHeight="true" outlineLevel="0" collapsed="false">
      <c r="A21" s="8" t="s">
        <v>281</v>
      </c>
      <c r="B21" s="64" t="n">
        <f aca="false">'07-WACC'!B6</f>
        <v>0.055</v>
      </c>
      <c r="C21" s="65" t="s">
        <v>282</v>
      </c>
    </row>
    <row r="22" customFormat="false" ht="15.75" hidden="false" customHeight="true" outlineLevel="0" collapsed="false">
      <c r="A22" s="8" t="s">
        <v>283</v>
      </c>
      <c r="B22" s="69" t="n">
        <f aca="false">'07-WACC'!B7</f>
        <v>1.32</v>
      </c>
      <c r="C22" s="65" t="s">
        <v>330</v>
      </c>
    </row>
    <row r="23" customFormat="false" ht="15.75" hidden="false" customHeight="true" outlineLevel="0" collapsed="false">
      <c r="A23" s="8" t="s">
        <v>260</v>
      </c>
      <c r="B23" s="64" t="n">
        <f aca="false">'07-WACC'!B25</f>
        <v>0.107556023746599</v>
      </c>
      <c r="C23" s="65" t="s">
        <v>331</v>
      </c>
    </row>
    <row r="24" customFormat="false" ht="15.75" hidden="false" customHeight="true" outlineLevel="0" collapsed="false">
      <c r="A24" s="8"/>
      <c r="B24" s="8"/>
      <c r="C24" s="65"/>
    </row>
    <row r="25" customFormat="false" ht="15.75" hidden="false" customHeight="true" outlineLevel="0" collapsed="false">
      <c r="A25" s="5" t="s">
        <v>265</v>
      </c>
      <c r="B25" s="8"/>
      <c r="C25" s="65"/>
    </row>
    <row r="26" customFormat="false" ht="15.75" hidden="false" customHeight="true" outlineLevel="0" collapsed="false">
      <c r="A26" s="8" t="s">
        <v>266</v>
      </c>
      <c r="B26" s="64" t="n">
        <f aca="false">'06-DCF'!E33</f>
        <v>0.025</v>
      </c>
      <c r="C26" s="65" t="s">
        <v>332</v>
      </c>
    </row>
    <row r="27" customFormat="false" ht="15.75" hidden="false" customHeight="true" outlineLevel="0" collapsed="false">
      <c r="A27" s="8" t="s">
        <v>333</v>
      </c>
      <c r="B27" s="67" t="n">
        <f aca="false">'06-DCF'!E34</f>
        <v>80886.6233276976</v>
      </c>
      <c r="C27" s="65" t="s">
        <v>334</v>
      </c>
    </row>
    <row r="28" customFormat="false" ht="15.75" hidden="false" customHeight="true" outlineLevel="0" collapsed="false">
      <c r="A28" s="8"/>
      <c r="B28" s="8"/>
      <c r="C28" s="65"/>
    </row>
    <row r="29" customFormat="false" ht="15.75" hidden="false" customHeight="true" outlineLevel="0" collapsed="false">
      <c r="A29" s="5" t="s">
        <v>335</v>
      </c>
      <c r="B29" s="8"/>
      <c r="C29" s="65"/>
    </row>
    <row r="30" customFormat="false" ht="15.75" hidden="false" customHeight="true" outlineLevel="0" collapsed="false">
      <c r="A30" s="8" t="s">
        <v>275</v>
      </c>
      <c r="B30" s="67" t="n">
        <f aca="false">'06-DCF'!E43</f>
        <v>47.5797091107326</v>
      </c>
      <c r="C30" s="65" t="s">
        <v>336</v>
      </c>
    </row>
    <row r="31" customFormat="false" ht="15.75" hidden="false" customHeight="true" outlineLevel="0" collapsed="false">
      <c r="A31" s="8" t="s">
        <v>337</v>
      </c>
      <c r="B31" s="8" t="n">
        <v>45</v>
      </c>
      <c r="C31" s="65" t="s">
        <v>338</v>
      </c>
    </row>
    <row r="32" customFormat="false" ht="15.75" hidden="false" customHeight="true" outlineLevel="0" collapsed="false">
      <c r="A32" s="8" t="s">
        <v>339</v>
      </c>
      <c r="B32" s="64" t="n">
        <f aca="false">(B30-B31)/B31</f>
        <v>0.0573268691273913</v>
      </c>
      <c r="C32" s="65" t="s">
        <v>340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B15" activeCellId="0" sqref="B15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12.83"/>
    <col collapsed="false" customWidth="true" hidden="false" outlineLevel="0" max="3" min="3" style="1" width="19.67"/>
    <col collapsed="false" customWidth="true" hidden="false" outlineLevel="0" max="4" min="4" style="1" width="19.83"/>
    <col collapsed="false" customWidth="true" hidden="false" outlineLevel="0" max="5" min="5" style="1" width="22.5"/>
    <col collapsed="false" customWidth="true" hidden="false" outlineLevel="0" max="6" min="6" style="1" width="18.16"/>
  </cols>
  <sheetData>
    <row r="1" customFormat="false" ht="18" hidden="false" customHeight="true" outlineLevel="0" collapsed="false">
      <c r="A1" s="2" t="s">
        <v>341</v>
      </c>
      <c r="B1" s="2"/>
      <c r="C1" s="2"/>
      <c r="D1" s="2"/>
      <c r="E1" s="2"/>
      <c r="F1" s="2"/>
    </row>
    <row r="3" customFormat="false" ht="15.75" hidden="false" customHeight="true" outlineLevel="0" collapsed="false">
      <c r="A3" s="70" t="s">
        <v>342</v>
      </c>
      <c r="B3" s="70"/>
      <c r="C3" s="70"/>
      <c r="D3" s="70"/>
      <c r="E3" s="70"/>
      <c r="F3" s="70"/>
    </row>
    <row r="5" customFormat="false" ht="15.75" hidden="false" customHeight="true" outlineLevel="0" collapsed="false">
      <c r="A5" s="5" t="s">
        <v>343</v>
      </c>
      <c r="B5" s="5" t="s">
        <v>260</v>
      </c>
      <c r="C5" s="5" t="s">
        <v>344</v>
      </c>
      <c r="D5" s="5" t="s">
        <v>275</v>
      </c>
      <c r="E5" s="5" t="s">
        <v>345</v>
      </c>
      <c r="F5" s="5" t="s">
        <v>346</v>
      </c>
    </row>
    <row r="6" customFormat="false" ht="15.75" hidden="false" customHeight="true" outlineLevel="0" collapsed="false">
      <c r="A6" s="24" t="s">
        <v>347</v>
      </c>
      <c r="B6" s="59" t="n">
        <v>0.1176</v>
      </c>
      <c r="C6" s="59" t="n">
        <v>0.015</v>
      </c>
      <c r="D6" s="17" t="n">
        <f aca="false">(SUMPRODUCT('06-DCF'!E22:I22,1/(1+B6)^{1,2,3,4,5})+('06-DCF'!I22*(1+C6)/(B6-C6))*(1/(1+B6)^5)-'06-DCF'!E40)/'06-DCF'!E42</f>
        <v>39.6401876725568</v>
      </c>
      <c r="E6" s="59" t="n">
        <f aca="false">D6/45-1</f>
        <v>-0.11910694060985</v>
      </c>
      <c r="F6" s="71" t="s">
        <v>348</v>
      </c>
    </row>
    <row r="7" customFormat="false" ht="15.75" hidden="false" customHeight="true" outlineLevel="0" collapsed="false">
      <c r="A7" s="72" t="s">
        <v>349</v>
      </c>
      <c r="B7" s="73" t="n">
        <f aca="false">'07-WACC'!B25</f>
        <v>0.107556023746599</v>
      </c>
      <c r="C7" s="73" t="n">
        <v>0.025</v>
      </c>
      <c r="D7" s="74" t="n">
        <f aca="false">(SUMPRODUCT('06-DCF'!E22:I22,1/(1+B7)^{1,2,3,4,5})+('06-DCF'!I22*(1+C7)/(B7-C7))*(1/(1+B7)^5)-'06-DCF'!E40)/'06-DCF'!E42</f>
        <v>47.5797091107326</v>
      </c>
      <c r="E7" s="73" t="n">
        <f aca="false">D7/45-1</f>
        <v>0.0573268691273914</v>
      </c>
      <c r="F7" s="75" t="s">
        <v>350</v>
      </c>
    </row>
    <row r="8" customFormat="false" ht="16.5" hidden="false" customHeight="true" outlineLevel="0" collapsed="false">
      <c r="A8" s="24" t="s">
        <v>351</v>
      </c>
      <c r="B8" s="59" t="n">
        <v>0.0976</v>
      </c>
      <c r="C8" s="76" t="n">
        <v>0.035</v>
      </c>
      <c r="D8" s="17" t="n">
        <f aca="false">(SUMPRODUCT('06-DCF'!E22:I22,1/(1+B8)^{1,2,3,4,5})+('06-DCF'!I22*(1+C8)/(B8-C8))*(1/(1+B8)^5)-'06-DCF'!E40)/'06-DCF'!E42</f>
        <v>60.4410820754338</v>
      </c>
      <c r="E8" s="59" t="n">
        <f aca="false">D8/45-1</f>
        <v>0.343135157231862</v>
      </c>
      <c r="F8" s="77" t="s">
        <v>352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2026-05-18T16:47:17Z</dcterms:created>
  <dc:creator>Coignet, Matthieu</dc:creator>
  <dc:description/>
  <dc:language>en-US</dc:language>
  <cp:lastModifiedBy/>
  <dcterms:modified xsi:type="dcterms:W3CDTF">2026-09-21T21:01:38Z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